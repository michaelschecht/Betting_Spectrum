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I_Agents\Specialized_Agents\Financial_Agent\Projects\Edge_Spectrum\Docs\GPT_Analysis\"/>
    </mc:Choice>
  </mc:AlternateContent>
  <xr:revisionPtr revIDLastSave="0" documentId="8_{8EA51DEC-004A-4B1B-B2B5-5B8F11A2BED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EADME" sheetId="1" r:id="rId1"/>
    <sheet name="Original_V9" sheetId="2" r:id="rId2"/>
    <sheet name="Standardized_Model" sheetId="3" r:id="rId3"/>
    <sheet name="Category_Summary" sheetId="4" r:id="rId4"/>
    <sheet name="Dashboard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2" i="4"/>
  <c r="B11" i="4"/>
  <c r="G11" i="4" s="1"/>
  <c r="E18" i="5" s="1"/>
  <c r="B10" i="4"/>
  <c r="B9" i="4"/>
  <c r="B8" i="4"/>
  <c r="B7" i="4"/>
  <c r="B6" i="4"/>
  <c r="B5" i="4"/>
  <c r="B4" i="4"/>
  <c r="B3" i="4"/>
  <c r="B2" i="4"/>
  <c r="X181" i="3"/>
  <c r="W181" i="3"/>
  <c r="V181" i="3"/>
  <c r="U181" i="3"/>
  <c r="Q181" i="3"/>
  <c r="P181" i="3"/>
  <c r="O181" i="3"/>
  <c r="N181" i="3"/>
  <c r="M181" i="3"/>
  <c r="T181" i="3" s="1"/>
  <c r="L181" i="3"/>
  <c r="S181" i="3" s="1"/>
  <c r="K181" i="3"/>
  <c r="R181" i="3" s="1"/>
  <c r="X180" i="3"/>
  <c r="W180" i="3"/>
  <c r="U180" i="3"/>
  <c r="R180" i="3"/>
  <c r="Q180" i="3"/>
  <c r="P180" i="3"/>
  <c r="O180" i="3"/>
  <c r="V180" i="3" s="1"/>
  <c r="N180" i="3"/>
  <c r="M180" i="3"/>
  <c r="T180" i="3" s="1"/>
  <c r="L180" i="3"/>
  <c r="S180" i="3" s="1"/>
  <c r="K180" i="3"/>
  <c r="T179" i="3"/>
  <c r="Q179" i="3"/>
  <c r="X179" i="3" s="1"/>
  <c r="P179" i="3"/>
  <c r="W179" i="3" s="1"/>
  <c r="O179" i="3"/>
  <c r="V179" i="3" s="1"/>
  <c r="N179" i="3"/>
  <c r="U179" i="3" s="1"/>
  <c r="M179" i="3"/>
  <c r="L179" i="3"/>
  <c r="S179" i="3" s="1"/>
  <c r="K179" i="3"/>
  <c r="R179" i="3" s="1"/>
  <c r="V178" i="3"/>
  <c r="S178" i="3"/>
  <c r="R178" i="3"/>
  <c r="Q178" i="3"/>
  <c r="X178" i="3" s="1"/>
  <c r="P178" i="3"/>
  <c r="W178" i="3" s="1"/>
  <c r="O178" i="3"/>
  <c r="N178" i="3"/>
  <c r="U178" i="3" s="1"/>
  <c r="M178" i="3"/>
  <c r="T178" i="3" s="1"/>
  <c r="L178" i="3"/>
  <c r="K178" i="3"/>
  <c r="X177" i="3"/>
  <c r="U177" i="3"/>
  <c r="T177" i="3"/>
  <c r="S177" i="3"/>
  <c r="R177" i="3"/>
  <c r="Q177" i="3"/>
  <c r="P177" i="3"/>
  <c r="W177" i="3" s="1"/>
  <c r="O177" i="3"/>
  <c r="V177" i="3" s="1"/>
  <c r="N177" i="3"/>
  <c r="M177" i="3"/>
  <c r="L177" i="3"/>
  <c r="K177" i="3"/>
  <c r="W176" i="3"/>
  <c r="V176" i="3"/>
  <c r="U176" i="3"/>
  <c r="T176" i="3"/>
  <c r="Q176" i="3"/>
  <c r="X176" i="3" s="1"/>
  <c r="P176" i="3"/>
  <c r="O176" i="3"/>
  <c r="N176" i="3"/>
  <c r="M176" i="3"/>
  <c r="L176" i="3"/>
  <c r="S176" i="3" s="1"/>
  <c r="K176" i="3"/>
  <c r="R176" i="3" s="1"/>
  <c r="X175" i="3"/>
  <c r="W175" i="3"/>
  <c r="V175" i="3"/>
  <c r="Q175" i="3"/>
  <c r="P175" i="3"/>
  <c r="O175" i="3"/>
  <c r="N175" i="3"/>
  <c r="U175" i="3" s="1"/>
  <c r="M175" i="3"/>
  <c r="T175" i="3" s="1"/>
  <c r="L175" i="3"/>
  <c r="S175" i="3" s="1"/>
  <c r="K175" i="3"/>
  <c r="R175" i="3" s="1"/>
  <c r="X174" i="3"/>
  <c r="R174" i="3"/>
  <c r="Q174" i="3"/>
  <c r="P174" i="3"/>
  <c r="W174" i="3" s="1"/>
  <c r="O174" i="3"/>
  <c r="V174" i="3" s="1"/>
  <c r="N174" i="3"/>
  <c r="U174" i="3" s="1"/>
  <c r="M174" i="3"/>
  <c r="T174" i="3" s="1"/>
  <c r="L174" i="3"/>
  <c r="S174" i="3" s="1"/>
  <c r="K174" i="3"/>
  <c r="W173" i="3"/>
  <c r="T173" i="3"/>
  <c r="Q173" i="3"/>
  <c r="X173" i="3" s="1"/>
  <c r="P173" i="3"/>
  <c r="O173" i="3"/>
  <c r="V173" i="3" s="1"/>
  <c r="N173" i="3"/>
  <c r="U173" i="3" s="1"/>
  <c r="M173" i="3"/>
  <c r="L173" i="3"/>
  <c r="S173" i="3" s="1"/>
  <c r="K173" i="3"/>
  <c r="R173" i="3" s="1"/>
  <c r="V172" i="3"/>
  <c r="S172" i="3"/>
  <c r="R172" i="3"/>
  <c r="Q172" i="3"/>
  <c r="X172" i="3" s="1"/>
  <c r="P172" i="3"/>
  <c r="W172" i="3" s="1"/>
  <c r="O172" i="3"/>
  <c r="N172" i="3"/>
  <c r="U172" i="3" s="1"/>
  <c r="M172" i="3"/>
  <c r="T172" i="3" s="1"/>
  <c r="L172" i="3"/>
  <c r="K172" i="3"/>
  <c r="X171" i="3"/>
  <c r="U171" i="3"/>
  <c r="T171" i="3"/>
  <c r="S171" i="3"/>
  <c r="R171" i="3"/>
  <c r="Q171" i="3"/>
  <c r="P171" i="3"/>
  <c r="W171" i="3" s="1"/>
  <c r="O171" i="3"/>
  <c r="V171" i="3" s="1"/>
  <c r="N171" i="3"/>
  <c r="M171" i="3"/>
  <c r="L171" i="3"/>
  <c r="K171" i="3"/>
  <c r="W170" i="3"/>
  <c r="V170" i="3"/>
  <c r="U170" i="3"/>
  <c r="T170" i="3"/>
  <c r="Q170" i="3"/>
  <c r="X170" i="3" s="1"/>
  <c r="P170" i="3"/>
  <c r="O170" i="3"/>
  <c r="N170" i="3"/>
  <c r="M170" i="3"/>
  <c r="L170" i="3"/>
  <c r="S170" i="3" s="1"/>
  <c r="K170" i="3"/>
  <c r="R170" i="3" s="1"/>
  <c r="X169" i="3"/>
  <c r="W169" i="3"/>
  <c r="V169" i="3"/>
  <c r="S169" i="3"/>
  <c r="Q169" i="3"/>
  <c r="P169" i="3"/>
  <c r="O169" i="3"/>
  <c r="N169" i="3"/>
  <c r="U169" i="3" s="1"/>
  <c r="M169" i="3"/>
  <c r="T169" i="3" s="1"/>
  <c r="L169" i="3"/>
  <c r="K169" i="3"/>
  <c r="R169" i="3" s="1"/>
  <c r="X168" i="3"/>
  <c r="R168" i="3"/>
  <c r="Q168" i="3"/>
  <c r="P168" i="3"/>
  <c r="W168" i="3" s="1"/>
  <c r="O168" i="3"/>
  <c r="V168" i="3" s="1"/>
  <c r="N168" i="3"/>
  <c r="U168" i="3" s="1"/>
  <c r="M168" i="3"/>
  <c r="T168" i="3" s="1"/>
  <c r="L168" i="3"/>
  <c r="S168" i="3" s="1"/>
  <c r="K168" i="3"/>
  <c r="T167" i="3"/>
  <c r="Q167" i="3"/>
  <c r="X167" i="3" s="1"/>
  <c r="P167" i="3"/>
  <c r="W167" i="3" s="1"/>
  <c r="O167" i="3"/>
  <c r="V167" i="3" s="1"/>
  <c r="N167" i="3"/>
  <c r="U167" i="3" s="1"/>
  <c r="M167" i="3"/>
  <c r="L167" i="3"/>
  <c r="S167" i="3" s="1"/>
  <c r="K167" i="3"/>
  <c r="R167" i="3" s="1"/>
  <c r="V166" i="3"/>
  <c r="S166" i="3"/>
  <c r="R166" i="3"/>
  <c r="Q166" i="3"/>
  <c r="X166" i="3" s="1"/>
  <c r="P166" i="3"/>
  <c r="W166" i="3" s="1"/>
  <c r="O166" i="3"/>
  <c r="N166" i="3"/>
  <c r="U166" i="3" s="1"/>
  <c r="M166" i="3"/>
  <c r="T166" i="3" s="1"/>
  <c r="L166" i="3"/>
  <c r="K166" i="3"/>
  <c r="X165" i="3"/>
  <c r="U165" i="3"/>
  <c r="T165" i="3"/>
  <c r="S165" i="3"/>
  <c r="R165" i="3"/>
  <c r="Q165" i="3"/>
  <c r="P165" i="3"/>
  <c r="W165" i="3" s="1"/>
  <c r="O165" i="3"/>
  <c r="V165" i="3" s="1"/>
  <c r="N165" i="3"/>
  <c r="M165" i="3"/>
  <c r="L165" i="3"/>
  <c r="K165" i="3"/>
  <c r="W164" i="3"/>
  <c r="V164" i="3"/>
  <c r="U164" i="3"/>
  <c r="T164" i="3"/>
  <c r="Q164" i="3"/>
  <c r="X164" i="3" s="1"/>
  <c r="P164" i="3"/>
  <c r="O164" i="3"/>
  <c r="N164" i="3"/>
  <c r="M164" i="3"/>
  <c r="L164" i="3"/>
  <c r="S164" i="3" s="1"/>
  <c r="K164" i="3"/>
  <c r="R164" i="3" s="1"/>
  <c r="X163" i="3"/>
  <c r="W163" i="3"/>
  <c r="V163" i="3"/>
  <c r="S163" i="3"/>
  <c r="Q163" i="3"/>
  <c r="P163" i="3"/>
  <c r="O163" i="3"/>
  <c r="N163" i="3"/>
  <c r="U163" i="3" s="1"/>
  <c r="M163" i="3"/>
  <c r="T163" i="3" s="1"/>
  <c r="L163" i="3"/>
  <c r="K163" i="3"/>
  <c r="R163" i="3" s="1"/>
  <c r="X162" i="3"/>
  <c r="U162" i="3"/>
  <c r="R162" i="3"/>
  <c r="Q162" i="3"/>
  <c r="P162" i="3"/>
  <c r="W162" i="3" s="1"/>
  <c r="O162" i="3"/>
  <c r="V162" i="3" s="1"/>
  <c r="N162" i="3"/>
  <c r="M162" i="3"/>
  <c r="T162" i="3" s="1"/>
  <c r="L162" i="3"/>
  <c r="S162" i="3" s="1"/>
  <c r="K162" i="3"/>
  <c r="T161" i="3"/>
  <c r="Q161" i="3"/>
  <c r="X161" i="3" s="1"/>
  <c r="P161" i="3"/>
  <c r="W161" i="3" s="1"/>
  <c r="O161" i="3"/>
  <c r="V161" i="3" s="1"/>
  <c r="N161" i="3"/>
  <c r="U161" i="3" s="1"/>
  <c r="M161" i="3"/>
  <c r="L161" i="3"/>
  <c r="S161" i="3" s="1"/>
  <c r="K161" i="3"/>
  <c r="R161" i="3" s="1"/>
  <c r="V160" i="3"/>
  <c r="S160" i="3"/>
  <c r="R160" i="3"/>
  <c r="Q160" i="3"/>
  <c r="X160" i="3" s="1"/>
  <c r="P160" i="3"/>
  <c r="W160" i="3" s="1"/>
  <c r="O160" i="3"/>
  <c r="N160" i="3"/>
  <c r="U160" i="3" s="1"/>
  <c r="M160" i="3"/>
  <c r="T160" i="3" s="1"/>
  <c r="L160" i="3"/>
  <c r="K160" i="3"/>
  <c r="X159" i="3"/>
  <c r="U159" i="3"/>
  <c r="T159" i="3"/>
  <c r="S159" i="3"/>
  <c r="R159" i="3"/>
  <c r="Q159" i="3"/>
  <c r="P159" i="3"/>
  <c r="W159" i="3" s="1"/>
  <c r="O159" i="3"/>
  <c r="V159" i="3" s="1"/>
  <c r="N159" i="3"/>
  <c r="M159" i="3"/>
  <c r="L159" i="3"/>
  <c r="K159" i="3"/>
  <c r="W158" i="3"/>
  <c r="V158" i="3"/>
  <c r="U158" i="3"/>
  <c r="T158" i="3"/>
  <c r="Q158" i="3"/>
  <c r="X158" i="3" s="1"/>
  <c r="P158" i="3"/>
  <c r="O158" i="3"/>
  <c r="N158" i="3"/>
  <c r="M158" i="3"/>
  <c r="L158" i="3"/>
  <c r="S158" i="3" s="1"/>
  <c r="K158" i="3"/>
  <c r="R158" i="3" s="1"/>
  <c r="X157" i="3"/>
  <c r="W157" i="3"/>
  <c r="V157" i="3"/>
  <c r="Q157" i="3"/>
  <c r="P157" i="3"/>
  <c r="O157" i="3"/>
  <c r="N157" i="3"/>
  <c r="U157" i="3" s="1"/>
  <c r="M157" i="3"/>
  <c r="T157" i="3" s="1"/>
  <c r="L157" i="3"/>
  <c r="S157" i="3" s="1"/>
  <c r="K157" i="3"/>
  <c r="R157" i="3" s="1"/>
  <c r="X156" i="3"/>
  <c r="U156" i="3"/>
  <c r="R156" i="3"/>
  <c r="Q156" i="3"/>
  <c r="P156" i="3"/>
  <c r="W156" i="3" s="1"/>
  <c r="O156" i="3"/>
  <c r="V156" i="3" s="1"/>
  <c r="N156" i="3"/>
  <c r="M156" i="3"/>
  <c r="T156" i="3" s="1"/>
  <c r="L156" i="3"/>
  <c r="S156" i="3" s="1"/>
  <c r="K156" i="3"/>
  <c r="T155" i="3"/>
  <c r="Q155" i="3"/>
  <c r="X155" i="3" s="1"/>
  <c r="P155" i="3"/>
  <c r="W155" i="3" s="1"/>
  <c r="O155" i="3"/>
  <c r="V155" i="3" s="1"/>
  <c r="N155" i="3"/>
  <c r="U155" i="3" s="1"/>
  <c r="M155" i="3"/>
  <c r="L155" i="3"/>
  <c r="S155" i="3" s="1"/>
  <c r="K155" i="3"/>
  <c r="R155" i="3" s="1"/>
  <c r="V154" i="3"/>
  <c r="S154" i="3"/>
  <c r="R154" i="3"/>
  <c r="Q154" i="3"/>
  <c r="X154" i="3" s="1"/>
  <c r="P154" i="3"/>
  <c r="W154" i="3" s="1"/>
  <c r="O154" i="3"/>
  <c r="N154" i="3"/>
  <c r="U154" i="3" s="1"/>
  <c r="M154" i="3"/>
  <c r="T154" i="3" s="1"/>
  <c r="L154" i="3"/>
  <c r="K154" i="3"/>
  <c r="X153" i="3"/>
  <c r="U153" i="3"/>
  <c r="T153" i="3"/>
  <c r="S153" i="3"/>
  <c r="R153" i="3"/>
  <c r="Q153" i="3"/>
  <c r="P153" i="3"/>
  <c r="W153" i="3" s="1"/>
  <c r="O153" i="3"/>
  <c r="V153" i="3" s="1"/>
  <c r="N153" i="3"/>
  <c r="M153" i="3"/>
  <c r="L153" i="3"/>
  <c r="K153" i="3"/>
  <c r="W152" i="3"/>
  <c r="V152" i="3"/>
  <c r="U152" i="3"/>
  <c r="T152" i="3"/>
  <c r="Q152" i="3"/>
  <c r="X152" i="3" s="1"/>
  <c r="P152" i="3"/>
  <c r="O152" i="3"/>
  <c r="N152" i="3"/>
  <c r="M152" i="3"/>
  <c r="L152" i="3"/>
  <c r="S152" i="3" s="1"/>
  <c r="K152" i="3"/>
  <c r="R152" i="3" s="1"/>
  <c r="X151" i="3"/>
  <c r="W151" i="3"/>
  <c r="V151" i="3"/>
  <c r="Q151" i="3"/>
  <c r="P151" i="3"/>
  <c r="O151" i="3"/>
  <c r="N151" i="3"/>
  <c r="U151" i="3" s="1"/>
  <c r="M151" i="3"/>
  <c r="T151" i="3" s="1"/>
  <c r="L151" i="3"/>
  <c r="S151" i="3" s="1"/>
  <c r="K151" i="3"/>
  <c r="R151" i="3" s="1"/>
  <c r="X150" i="3"/>
  <c r="R150" i="3"/>
  <c r="Q150" i="3"/>
  <c r="P150" i="3"/>
  <c r="W150" i="3" s="1"/>
  <c r="O150" i="3"/>
  <c r="V150" i="3" s="1"/>
  <c r="N150" i="3"/>
  <c r="U150" i="3" s="1"/>
  <c r="M150" i="3"/>
  <c r="T150" i="3" s="1"/>
  <c r="L150" i="3"/>
  <c r="S150" i="3" s="1"/>
  <c r="K150" i="3"/>
  <c r="W149" i="3"/>
  <c r="T149" i="3"/>
  <c r="Q149" i="3"/>
  <c r="X149" i="3" s="1"/>
  <c r="P149" i="3"/>
  <c r="O149" i="3"/>
  <c r="V149" i="3" s="1"/>
  <c r="N149" i="3"/>
  <c r="U149" i="3" s="1"/>
  <c r="M149" i="3"/>
  <c r="L149" i="3"/>
  <c r="S149" i="3" s="1"/>
  <c r="K149" i="3"/>
  <c r="R149" i="3" s="1"/>
  <c r="V148" i="3"/>
  <c r="S148" i="3"/>
  <c r="R148" i="3"/>
  <c r="Q148" i="3"/>
  <c r="X148" i="3" s="1"/>
  <c r="P148" i="3"/>
  <c r="W148" i="3" s="1"/>
  <c r="O148" i="3"/>
  <c r="N148" i="3"/>
  <c r="U148" i="3" s="1"/>
  <c r="M148" i="3"/>
  <c r="T148" i="3" s="1"/>
  <c r="L148" i="3"/>
  <c r="K148" i="3"/>
  <c r="X147" i="3"/>
  <c r="U147" i="3"/>
  <c r="T147" i="3"/>
  <c r="S147" i="3"/>
  <c r="R147" i="3"/>
  <c r="Q147" i="3"/>
  <c r="P147" i="3"/>
  <c r="W147" i="3" s="1"/>
  <c r="O147" i="3"/>
  <c r="V147" i="3" s="1"/>
  <c r="N147" i="3"/>
  <c r="M147" i="3"/>
  <c r="L147" i="3"/>
  <c r="K147" i="3"/>
  <c r="W146" i="3"/>
  <c r="V146" i="3"/>
  <c r="U146" i="3"/>
  <c r="T146" i="3"/>
  <c r="Q146" i="3"/>
  <c r="X146" i="3" s="1"/>
  <c r="P146" i="3"/>
  <c r="O146" i="3"/>
  <c r="N146" i="3"/>
  <c r="M146" i="3"/>
  <c r="L146" i="3"/>
  <c r="S146" i="3" s="1"/>
  <c r="K146" i="3"/>
  <c r="R146" i="3" s="1"/>
  <c r="X145" i="3"/>
  <c r="W145" i="3"/>
  <c r="V145" i="3"/>
  <c r="S145" i="3"/>
  <c r="Q145" i="3"/>
  <c r="P145" i="3"/>
  <c r="O145" i="3"/>
  <c r="N145" i="3"/>
  <c r="U145" i="3" s="1"/>
  <c r="M145" i="3"/>
  <c r="T145" i="3" s="1"/>
  <c r="L145" i="3"/>
  <c r="K145" i="3"/>
  <c r="R145" i="3" s="1"/>
  <c r="X144" i="3"/>
  <c r="R144" i="3"/>
  <c r="Q144" i="3"/>
  <c r="P144" i="3"/>
  <c r="W144" i="3" s="1"/>
  <c r="O144" i="3"/>
  <c r="V144" i="3" s="1"/>
  <c r="N144" i="3"/>
  <c r="U144" i="3" s="1"/>
  <c r="M144" i="3"/>
  <c r="T144" i="3" s="1"/>
  <c r="L144" i="3"/>
  <c r="S144" i="3" s="1"/>
  <c r="K144" i="3"/>
  <c r="T143" i="3"/>
  <c r="Q143" i="3"/>
  <c r="X143" i="3" s="1"/>
  <c r="P143" i="3"/>
  <c r="W143" i="3" s="1"/>
  <c r="O143" i="3"/>
  <c r="V143" i="3" s="1"/>
  <c r="N143" i="3"/>
  <c r="U143" i="3" s="1"/>
  <c r="M143" i="3"/>
  <c r="L143" i="3"/>
  <c r="S143" i="3" s="1"/>
  <c r="K143" i="3"/>
  <c r="R143" i="3" s="1"/>
  <c r="V142" i="3"/>
  <c r="S142" i="3"/>
  <c r="R142" i="3"/>
  <c r="Q142" i="3"/>
  <c r="X142" i="3" s="1"/>
  <c r="P142" i="3"/>
  <c r="W142" i="3" s="1"/>
  <c r="O142" i="3"/>
  <c r="N142" i="3"/>
  <c r="U142" i="3" s="1"/>
  <c r="M142" i="3"/>
  <c r="T142" i="3" s="1"/>
  <c r="L142" i="3"/>
  <c r="K142" i="3"/>
  <c r="X141" i="3"/>
  <c r="U141" i="3"/>
  <c r="T141" i="3"/>
  <c r="S141" i="3"/>
  <c r="R141" i="3"/>
  <c r="Q141" i="3"/>
  <c r="P141" i="3"/>
  <c r="W141" i="3" s="1"/>
  <c r="O141" i="3"/>
  <c r="V141" i="3" s="1"/>
  <c r="N141" i="3"/>
  <c r="M141" i="3"/>
  <c r="L141" i="3"/>
  <c r="K141" i="3"/>
  <c r="W140" i="3"/>
  <c r="V140" i="3"/>
  <c r="U140" i="3"/>
  <c r="T140" i="3"/>
  <c r="Q140" i="3"/>
  <c r="X140" i="3" s="1"/>
  <c r="P140" i="3"/>
  <c r="O140" i="3"/>
  <c r="N140" i="3"/>
  <c r="M140" i="3"/>
  <c r="L140" i="3"/>
  <c r="S140" i="3" s="1"/>
  <c r="K140" i="3"/>
  <c r="R140" i="3" s="1"/>
  <c r="X139" i="3"/>
  <c r="W139" i="3"/>
  <c r="V139" i="3"/>
  <c r="S139" i="3"/>
  <c r="Q139" i="3"/>
  <c r="P139" i="3"/>
  <c r="O139" i="3"/>
  <c r="N139" i="3"/>
  <c r="U139" i="3" s="1"/>
  <c r="M139" i="3"/>
  <c r="T139" i="3" s="1"/>
  <c r="L139" i="3"/>
  <c r="K139" i="3"/>
  <c r="R139" i="3" s="1"/>
  <c r="X138" i="3"/>
  <c r="U138" i="3"/>
  <c r="R138" i="3"/>
  <c r="Q138" i="3"/>
  <c r="P138" i="3"/>
  <c r="W138" i="3" s="1"/>
  <c r="O138" i="3"/>
  <c r="V138" i="3" s="1"/>
  <c r="N138" i="3"/>
  <c r="M138" i="3"/>
  <c r="T138" i="3" s="1"/>
  <c r="L138" i="3"/>
  <c r="S138" i="3" s="1"/>
  <c r="K138" i="3"/>
  <c r="T137" i="3"/>
  <c r="Q137" i="3"/>
  <c r="X137" i="3" s="1"/>
  <c r="P137" i="3"/>
  <c r="W137" i="3" s="1"/>
  <c r="O137" i="3"/>
  <c r="V137" i="3" s="1"/>
  <c r="N137" i="3"/>
  <c r="U137" i="3" s="1"/>
  <c r="M137" i="3"/>
  <c r="L137" i="3"/>
  <c r="S137" i="3" s="1"/>
  <c r="K137" i="3"/>
  <c r="R137" i="3" s="1"/>
  <c r="V136" i="3"/>
  <c r="S136" i="3"/>
  <c r="R136" i="3"/>
  <c r="Q136" i="3"/>
  <c r="X136" i="3" s="1"/>
  <c r="P136" i="3"/>
  <c r="W136" i="3" s="1"/>
  <c r="O136" i="3"/>
  <c r="N136" i="3"/>
  <c r="U136" i="3" s="1"/>
  <c r="M136" i="3"/>
  <c r="T136" i="3" s="1"/>
  <c r="L136" i="3"/>
  <c r="K136" i="3"/>
  <c r="X135" i="3"/>
  <c r="U135" i="3"/>
  <c r="T135" i="3"/>
  <c r="S135" i="3"/>
  <c r="R135" i="3"/>
  <c r="Q135" i="3"/>
  <c r="P135" i="3"/>
  <c r="W135" i="3" s="1"/>
  <c r="O135" i="3"/>
  <c r="V135" i="3" s="1"/>
  <c r="N135" i="3"/>
  <c r="M135" i="3"/>
  <c r="L135" i="3"/>
  <c r="K135" i="3"/>
  <c r="W134" i="3"/>
  <c r="V134" i="3"/>
  <c r="U134" i="3"/>
  <c r="T134" i="3"/>
  <c r="Q134" i="3"/>
  <c r="X134" i="3" s="1"/>
  <c r="P134" i="3"/>
  <c r="O134" i="3"/>
  <c r="N134" i="3"/>
  <c r="M134" i="3"/>
  <c r="L134" i="3"/>
  <c r="S134" i="3" s="1"/>
  <c r="K134" i="3"/>
  <c r="R134" i="3" s="1"/>
  <c r="X133" i="3"/>
  <c r="W133" i="3"/>
  <c r="V133" i="3"/>
  <c r="Q133" i="3"/>
  <c r="P133" i="3"/>
  <c r="O133" i="3"/>
  <c r="N133" i="3"/>
  <c r="U133" i="3" s="1"/>
  <c r="M133" i="3"/>
  <c r="T133" i="3" s="1"/>
  <c r="L133" i="3"/>
  <c r="S133" i="3" s="1"/>
  <c r="K133" i="3"/>
  <c r="R133" i="3" s="1"/>
  <c r="X132" i="3"/>
  <c r="U132" i="3"/>
  <c r="R132" i="3"/>
  <c r="Q132" i="3"/>
  <c r="P132" i="3"/>
  <c r="W132" i="3" s="1"/>
  <c r="O132" i="3"/>
  <c r="V132" i="3" s="1"/>
  <c r="N132" i="3"/>
  <c r="M132" i="3"/>
  <c r="T132" i="3" s="1"/>
  <c r="L132" i="3"/>
  <c r="S132" i="3" s="1"/>
  <c r="K132" i="3"/>
  <c r="T131" i="3"/>
  <c r="Q131" i="3"/>
  <c r="X131" i="3" s="1"/>
  <c r="P131" i="3"/>
  <c r="W131" i="3" s="1"/>
  <c r="O131" i="3"/>
  <c r="V131" i="3" s="1"/>
  <c r="N131" i="3"/>
  <c r="U131" i="3" s="1"/>
  <c r="M131" i="3"/>
  <c r="L131" i="3"/>
  <c r="S131" i="3" s="1"/>
  <c r="K131" i="3"/>
  <c r="R131" i="3" s="1"/>
  <c r="V130" i="3"/>
  <c r="S130" i="3"/>
  <c r="R130" i="3"/>
  <c r="Q130" i="3"/>
  <c r="X130" i="3" s="1"/>
  <c r="P130" i="3"/>
  <c r="W130" i="3" s="1"/>
  <c r="O130" i="3"/>
  <c r="N130" i="3"/>
  <c r="U130" i="3" s="1"/>
  <c r="M130" i="3"/>
  <c r="T130" i="3" s="1"/>
  <c r="L130" i="3"/>
  <c r="K130" i="3"/>
  <c r="X129" i="3"/>
  <c r="U129" i="3"/>
  <c r="T129" i="3"/>
  <c r="S129" i="3"/>
  <c r="R129" i="3"/>
  <c r="Q129" i="3"/>
  <c r="P129" i="3"/>
  <c r="W129" i="3" s="1"/>
  <c r="O129" i="3"/>
  <c r="V129" i="3" s="1"/>
  <c r="N129" i="3"/>
  <c r="M129" i="3"/>
  <c r="L129" i="3"/>
  <c r="K129" i="3"/>
  <c r="W128" i="3"/>
  <c r="V128" i="3"/>
  <c r="U128" i="3"/>
  <c r="T128" i="3"/>
  <c r="Q128" i="3"/>
  <c r="X128" i="3" s="1"/>
  <c r="P128" i="3"/>
  <c r="O128" i="3"/>
  <c r="N128" i="3"/>
  <c r="M128" i="3"/>
  <c r="L128" i="3"/>
  <c r="S128" i="3" s="1"/>
  <c r="K128" i="3"/>
  <c r="R128" i="3" s="1"/>
  <c r="X127" i="3"/>
  <c r="W127" i="3"/>
  <c r="V127" i="3"/>
  <c r="Q127" i="3"/>
  <c r="P127" i="3"/>
  <c r="O127" i="3"/>
  <c r="N127" i="3"/>
  <c r="U127" i="3" s="1"/>
  <c r="M127" i="3"/>
  <c r="T127" i="3" s="1"/>
  <c r="L127" i="3"/>
  <c r="S127" i="3" s="1"/>
  <c r="K127" i="3"/>
  <c r="R127" i="3" s="1"/>
  <c r="X126" i="3"/>
  <c r="R126" i="3"/>
  <c r="Q126" i="3"/>
  <c r="P126" i="3"/>
  <c r="W126" i="3" s="1"/>
  <c r="O126" i="3"/>
  <c r="V126" i="3" s="1"/>
  <c r="N126" i="3"/>
  <c r="U126" i="3" s="1"/>
  <c r="M126" i="3"/>
  <c r="T126" i="3" s="1"/>
  <c r="L126" i="3"/>
  <c r="S126" i="3" s="1"/>
  <c r="K126" i="3"/>
  <c r="W125" i="3"/>
  <c r="T125" i="3"/>
  <c r="Q125" i="3"/>
  <c r="X125" i="3" s="1"/>
  <c r="P125" i="3"/>
  <c r="O125" i="3"/>
  <c r="V125" i="3" s="1"/>
  <c r="N125" i="3"/>
  <c r="U125" i="3" s="1"/>
  <c r="M125" i="3"/>
  <c r="L125" i="3"/>
  <c r="S125" i="3" s="1"/>
  <c r="K125" i="3"/>
  <c r="R125" i="3" s="1"/>
  <c r="V124" i="3"/>
  <c r="S124" i="3"/>
  <c r="R124" i="3"/>
  <c r="Q124" i="3"/>
  <c r="X124" i="3" s="1"/>
  <c r="P124" i="3"/>
  <c r="W124" i="3" s="1"/>
  <c r="O124" i="3"/>
  <c r="N124" i="3"/>
  <c r="U124" i="3" s="1"/>
  <c r="M124" i="3"/>
  <c r="T124" i="3" s="1"/>
  <c r="L124" i="3"/>
  <c r="K124" i="3"/>
  <c r="X123" i="3"/>
  <c r="V123" i="3"/>
  <c r="U123" i="3"/>
  <c r="T123" i="3"/>
  <c r="S123" i="3"/>
  <c r="R123" i="3"/>
  <c r="Q123" i="3"/>
  <c r="P123" i="3"/>
  <c r="W123" i="3" s="1"/>
  <c r="O123" i="3"/>
  <c r="N123" i="3"/>
  <c r="M123" i="3"/>
  <c r="L123" i="3"/>
  <c r="K123" i="3"/>
  <c r="W122" i="3"/>
  <c r="V122" i="3"/>
  <c r="U122" i="3"/>
  <c r="T122" i="3"/>
  <c r="Q122" i="3"/>
  <c r="X122" i="3" s="1"/>
  <c r="P122" i="3"/>
  <c r="O122" i="3"/>
  <c r="N122" i="3"/>
  <c r="M122" i="3"/>
  <c r="L122" i="3"/>
  <c r="S122" i="3" s="1"/>
  <c r="K122" i="3"/>
  <c r="R122" i="3" s="1"/>
  <c r="X121" i="3"/>
  <c r="W121" i="3"/>
  <c r="V121" i="3"/>
  <c r="S121" i="3"/>
  <c r="Q121" i="3"/>
  <c r="P121" i="3"/>
  <c r="O121" i="3"/>
  <c r="N121" i="3"/>
  <c r="U121" i="3" s="1"/>
  <c r="M121" i="3"/>
  <c r="T121" i="3" s="1"/>
  <c r="L121" i="3"/>
  <c r="K121" i="3"/>
  <c r="R121" i="3" s="1"/>
  <c r="X120" i="3"/>
  <c r="R120" i="3"/>
  <c r="Q120" i="3"/>
  <c r="P120" i="3"/>
  <c r="W120" i="3" s="1"/>
  <c r="O120" i="3"/>
  <c r="V120" i="3" s="1"/>
  <c r="N120" i="3"/>
  <c r="U120" i="3" s="1"/>
  <c r="M120" i="3"/>
  <c r="T120" i="3" s="1"/>
  <c r="L120" i="3"/>
  <c r="S120" i="3" s="1"/>
  <c r="K120" i="3"/>
  <c r="W119" i="3"/>
  <c r="T119" i="3"/>
  <c r="R119" i="3"/>
  <c r="Q119" i="3"/>
  <c r="X119" i="3" s="1"/>
  <c r="P119" i="3"/>
  <c r="O119" i="3"/>
  <c r="V119" i="3" s="1"/>
  <c r="N119" i="3"/>
  <c r="U119" i="3" s="1"/>
  <c r="M119" i="3"/>
  <c r="L119" i="3"/>
  <c r="S119" i="3" s="1"/>
  <c r="K119" i="3"/>
  <c r="V118" i="3"/>
  <c r="S118" i="3"/>
  <c r="R118" i="3"/>
  <c r="Q118" i="3"/>
  <c r="X118" i="3" s="1"/>
  <c r="P118" i="3"/>
  <c r="W118" i="3" s="1"/>
  <c r="O118" i="3"/>
  <c r="N118" i="3"/>
  <c r="U118" i="3" s="1"/>
  <c r="M118" i="3"/>
  <c r="T118" i="3" s="1"/>
  <c r="L118" i="3"/>
  <c r="K118" i="3"/>
  <c r="X117" i="3"/>
  <c r="U117" i="3"/>
  <c r="T117" i="3"/>
  <c r="S117" i="3"/>
  <c r="R117" i="3"/>
  <c r="Q117" i="3"/>
  <c r="P117" i="3"/>
  <c r="W117" i="3" s="1"/>
  <c r="O117" i="3"/>
  <c r="V117" i="3" s="1"/>
  <c r="N117" i="3"/>
  <c r="M117" i="3"/>
  <c r="L117" i="3"/>
  <c r="K117" i="3"/>
  <c r="W116" i="3"/>
  <c r="V116" i="3"/>
  <c r="U116" i="3"/>
  <c r="T116" i="3"/>
  <c r="Q116" i="3"/>
  <c r="X116" i="3" s="1"/>
  <c r="P116" i="3"/>
  <c r="O116" i="3"/>
  <c r="N116" i="3"/>
  <c r="M116" i="3"/>
  <c r="L116" i="3"/>
  <c r="S116" i="3" s="1"/>
  <c r="K116" i="3"/>
  <c r="R116" i="3" s="1"/>
  <c r="X115" i="3"/>
  <c r="W115" i="3"/>
  <c r="V115" i="3"/>
  <c r="Q115" i="3"/>
  <c r="P115" i="3"/>
  <c r="O115" i="3"/>
  <c r="N115" i="3"/>
  <c r="U115" i="3" s="1"/>
  <c r="M115" i="3"/>
  <c r="T115" i="3" s="1"/>
  <c r="L115" i="3"/>
  <c r="S115" i="3" s="1"/>
  <c r="K115" i="3"/>
  <c r="R115" i="3" s="1"/>
  <c r="X114" i="3"/>
  <c r="R114" i="3"/>
  <c r="Q114" i="3"/>
  <c r="P114" i="3"/>
  <c r="W114" i="3" s="1"/>
  <c r="O114" i="3"/>
  <c r="V114" i="3" s="1"/>
  <c r="N114" i="3"/>
  <c r="U114" i="3" s="1"/>
  <c r="M114" i="3"/>
  <c r="T114" i="3" s="1"/>
  <c r="L114" i="3"/>
  <c r="S114" i="3" s="1"/>
  <c r="K114" i="3"/>
  <c r="W113" i="3"/>
  <c r="T113" i="3"/>
  <c r="Q113" i="3"/>
  <c r="X113" i="3" s="1"/>
  <c r="P113" i="3"/>
  <c r="O113" i="3"/>
  <c r="V113" i="3" s="1"/>
  <c r="N113" i="3"/>
  <c r="U113" i="3" s="1"/>
  <c r="M113" i="3"/>
  <c r="L113" i="3"/>
  <c r="S113" i="3" s="1"/>
  <c r="K113" i="3"/>
  <c r="R113" i="3" s="1"/>
  <c r="V112" i="3"/>
  <c r="T112" i="3"/>
  <c r="S112" i="3"/>
  <c r="R112" i="3"/>
  <c r="Q112" i="3"/>
  <c r="X112" i="3" s="1"/>
  <c r="P112" i="3"/>
  <c r="W112" i="3" s="1"/>
  <c r="O112" i="3"/>
  <c r="N112" i="3"/>
  <c r="U112" i="3" s="1"/>
  <c r="M112" i="3"/>
  <c r="L112" i="3"/>
  <c r="K112" i="3"/>
  <c r="X111" i="3"/>
  <c r="U111" i="3"/>
  <c r="T111" i="3"/>
  <c r="S111" i="3"/>
  <c r="R111" i="3"/>
  <c r="Q111" i="3"/>
  <c r="P111" i="3"/>
  <c r="W111" i="3" s="1"/>
  <c r="O111" i="3"/>
  <c r="V111" i="3" s="1"/>
  <c r="N111" i="3"/>
  <c r="M111" i="3"/>
  <c r="L111" i="3"/>
  <c r="K111" i="3"/>
  <c r="X110" i="3"/>
  <c r="W110" i="3"/>
  <c r="V110" i="3"/>
  <c r="U110" i="3"/>
  <c r="T110" i="3"/>
  <c r="Q110" i="3"/>
  <c r="P110" i="3"/>
  <c r="O110" i="3"/>
  <c r="N110" i="3"/>
  <c r="M110" i="3"/>
  <c r="L110" i="3"/>
  <c r="S110" i="3" s="1"/>
  <c r="K110" i="3"/>
  <c r="R110" i="3" s="1"/>
  <c r="X109" i="3"/>
  <c r="W109" i="3"/>
  <c r="V109" i="3"/>
  <c r="S109" i="3"/>
  <c r="Q109" i="3"/>
  <c r="P109" i="3"/>
  <c r="O109" i="3"/>
  <c r="N109" i="3"/>
  <c r="U109" i="3" s="1"/>
  <c r="M109" i="3"/>
  <c r="T109" i="3" s="1"/>
  <c r="L109" i="3"/>
  <c r="K109" i="3"/>
  <c r="R109" i="3" s="1"/>
  <c r="X108" i="3"/>
  <c r="U108" i="3"/>
  <c r="R108" i="3"/>
  <c r="Q108" i="3"/>
  <c r="P108" i="3"/>
  <c r="W108" i="3" s="1"/>
  <c r="O108" i="3"/>
  <c r="V108" i="3" s="1"/>
  <c r="N108" i="3"/>
  <c r="M108" i="3"/>
  <c r="T108" i="3" s="1"/>
  <c r="L108" i="3"/>
  <c r="S108" i="3" s="1"/>
  <c r="K108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X86" i="3"/>
  <c r="W86" i="3"/>
  <c r="V86" i="3"/>
  <c r="U86" i="3"/>
  <c r="T86" i="3"/>
  <c r="Q86" i="3"/>
  <c r="P86" i="3"/>
  <c r="O86" i="3"/>
  <c r="N86" i="3"/>
  <c r="M86" i="3"/>
  <c r="L86" i="3"/>
  <c r="S86" i="3" s="1"/>
  <c r="K86" i="3"/>
  <c r="R86" i="3" s="1"/>
  <c r="X85" i="3"/>
  <c r="W85" i="3"/>
  <c r="V85" i="3"/>
  <c r="Q85" i="3"/>
  <c r="P85" i="3"/>
  <c r="O85" i="3"/>
  <c r="N85" i="3"/>
  <c r="U85" i="3" s="1"/>
  <c r="M85" i="3"/>
  <c r="T85" i="3" s="1"/>
  <c r="L85" i="3"/>
  <c r="S85" i="3" s="1"/>
  <c r="K85" i="3"/>
  <c r="R85" i="3" s="1"/>
  <c r="X84" i="3"/>
  <c r="U84" i="3"/>
  <c r="R84" i="3"/>
  <c r="Q84" i="3"/>
  <c r="P84" i="3"/>
  <c r="W84" i="3" s="1"/>
  <c r="O84" i="3"/>
  <c r="V84" i="3" s="1"/>
  <c r="N84" i="3"/>
  <c r="M84" i="3"/>
  <c r="T84" i="3" s="1"/>
  <c r="L84" i="3"/>
  <c r="S84" i="3" s="1"/>
  <c r="K84" i="3"/>
  <c r="T83" i="3"/>
  <c r="R83" i="3"/>
  <c r="Q83" i="3"/>
  <c r="X83" i="3" s="1"/>
  <c r="P83" i="3"/>
  <c r="W83" i="3" s="1"/>
  <c r="O83" i="3"/>
  <c r="V83" i="3" s="1"/>
  <c r="N83" i="3"/>
  <c r="U83" i="3" s="1"/>
  <c r="M83" i="3"/>
  <c r="L83" i="3"/>
  <c r="S83" i="3" s="1"/>
  <c r="K83" i="3"/>
  <c r="V82" i="3"/>
  <c r="T82" i="3"/>
  <c r="S82" i="3"/>
  <c r="R82" i="3"/>
  <c r="Q82" i="3"/>
  <c r="X82" i="3" s="1"/>
  <c r="P82" i="3"/>
  <c r="W82" i="3" s="1"/>
  <c r="O82" i="3"/>
  <c r="N82" i="3"/>
  <c r="U82" i="3" s="1"/>
  <c r="M82" i="3"/>
  <c r="L82" i="3"/>
  <c r="K82" i="3"/>
  <c r="X81" i="3"/>
  <c r="U81" i="3"/>
  <c r="T81" i="3"/>
  <c r="S81" i="3"/>
  <c r="R81" i="3"/>
  <c r="Q81" i="3"/>
  <c r="P81" i="3"/>
  <c r="W81" i="3" s="1"/>
  <c r="O81" i="3"/>
  <c r="V81" i="3" s="1"/>
  <c r="N81" i="3"/>
  <c r="M81" i="3"/>
  <c r="L81" i="3"/>
  <c r="K81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G2" i="4" l="1"/>
  <c r="E9" i="5" s="1"/>
  <c r="F2" i="4"/>
  <c r="B9" i="5" s="1"/>
  <c r="E2" i="4"/>
  <c r="D2" i="4"/>
  <c r="C2" i="4"/>
  <c r="H9" i="5" s="1"/>
  <c r="G3" i="4"/>
  <c r="E10" i="5" s="1"/>
  <c r="F3" i="4"/>
  <c r="B10" i="5" s="1"/>
  <c r="E3" i="4"/>
  <c r="D3" i="4"/>
  <c r="C3" i="4"/>
  <c r="H10" i="5" s="1"/>
  <c r="G4" i="4"/>
  <c r="E11" i="5" s="1"/>
  <c r="F4" i="4"/>
  <c r="B11" i="5" s="1"/>
  <c r="E4" i="4"/>
  <c r="D4" i="4"/>
  <c r="C4" i="4"/>
  <c r="H11" i="5" s="1"/>
  <c r="G5" i="4"/>
  <c r="E12" i="5" s="1"/>
  <c r="F5" i="4"/>
  <c r="B12" i="5" s="1"/>
  <c r="E5" i="4"/>
  <c r="D5" i="4"/>
  <c r="C5" i="4"/>
  <c r="H12" i="5" s="1"/>
  <c r="G6" i="4"/>
  <c r="E13" i="5" s="1"/>
  <c r="F6" i="4"/>
  <c r="B13" i="5" s="1"/>
  <c r="E6" i="4"/>
  <c r="D6" i="4"/>
  <c r="C6" i="4"/>
  <c r="H13" i="5" s="1"/>
  <c r="G7" i="4"/>
  <c r="E14" i="5" s="1"/>
  <c r="F7" i="4"/>
  <c r="B14" i="5" s="1"/>
  <c r="E7" i="4"/>
  <c r="D7" i="4"/>
  <c r="C7" i="4"/>
  <c r="H14" i="5" s="1"/>
  <c r="G8" i="4"/>
  <c r="E15" i="5" s="1"/>
  <c r="F8" i="4"/>
  <c r="B15" i="5" s="1"/>
  <c r="E8" i="4"/>
  <c r="D8" i="4"/>
  <c r="C8" i="4"/>
  <c r="H15" i="5" s="1"/>
  <c r="G9" i="4"/>
  <c r="E16" i="5" s="1"/>
  <c r="F9" i="4"/>
  <c r="B16" i="5" s="1"/>
  <c r="E9" i="4"/>
  <c r="D9" i="4"/>
  <c r="C9" i="4"/>
  <c r="H16" i="5" s="1"/>
  <c r="G10" i="4"/>
  <c r="E17" i="5" s="1"/>
  <c r="F10" i="4"/>
  <c r="B17" i="5" s="1"/>
  <c r="E10" i="4"/>
  <c r="D10" i="4"/>
  <c r="C10" i="4"/>
  <c r="H17" i="5" s="1"/>
  <c r="G12" i="4"/>
  <c r="E19" i="5" s="1"/>
  <c r="G13" i="4"/>
  <c r="E20" i="5" s="1"/>
  <c r="C12" i="4"/>
  <c r="H19" i="5" s="1"/>
  <c r="D12" i="4"/>
  <c r="E12" i="4"/>
  <c r="F12" i="4"/>
  <c r="B19" i="5" s="1"/>
  <c r="C11" i="4"/>
  <c r="H18" i="5" s="1"/>
  <c r="C13" i="4"/>
  <c r="H20" i="5" s="1"/>
  <c r="D11" i="4"/>
  <c r="D13" i="4"/>
  <c r="E11" i="4"/>
  <c r="E13" i="4"/>
  <c r="F11" i="4"/>
  <c r="B18" i="5" s="1"/>
  <c r="F13" i="4"/>
  <c r="B20" i="5" s="1"/>
</calcChain>
</file>

<file path=xl/sharedStrings.xml><?xml version="1.0" encoding="utf-8"?>
<sst xmlns="http://schemas.openxmlformats.org/spreadsheetml/2006/main" count="2331" uniqueCount="344">
  <si>
    <t>Edge Spectrum V9 - Standardized Model Package</t>
  </si>
  <si>
    <t>This workbook converts your uploaded V9 dataset into a standardized DU/CED model. Edit DU/day and CED% on the Standardized_Model sheet to test new assumptions.</t>
  </si>
  <si>
    <t>Sheet</t>
  </si>
  <si>
    <t>Purpose</t>
  </si>
  <si>
    <t>README</t>
  </si>
  <si>
    <t>How the model works and how to use the workbook</t>
  </si>
  <si>
    <t>Original_V9</t>
  </si>
  <si>
    <t>Clean import of all 180 rows from edge_analysis9.md</t>
  </si>
  <si>
    <t>Standardized_Model</t>
  </si>
  <si>
    <t>Editable model with DU/day + CED% + standardized horizon returns</t>
  </si>
  <si>
    <t>Category_Summary</t>
  </si>
  <si>
    <t>Category-level rollups based on the standardized model</t>
  </si>
  <si>
    <t>Dashboard</t>
  </si>
  <si>
    <t>Simple visuals for average 1Y / 10Y standardized return and DU/day</t>
  </si>
  <si>
    <t>Source</t>
  </si>
  <si>
    <t>/mnt/data/edge_analysis9.md</t>
  </si>
  <si>
    <t>Standardization formulas</t>
  </si>
  <si>
    <t>Field</t>
  </si>
  <si>
    <t>Formula / meaning</t>
  </si>
  <si>
    <t>DU</t>
  </si>
  <si>
    <t>Decision Units. One discrete capital-at-risk decision.</t>
  </si>
  <si>
    <t>CED</t>
  </si>
  <si>
    <t>Capital Exposure per Decision. Entered as % of bankroll/exposure per decision.</t>
  </si>
  <si>
    <t>Linear rows</t>
  </si>
  <si>
    <t>Return = DU × CED × Edge</t>
  </si>
  <si>
    <t>Compound rows</t>
  </si>
  <si>
    <t>Return = (1 + Edge × CED)^Years - 1</t>
  </si>
  <si>
    <t>1 Decision (compound)</t>
  </si>
  <si>
    <t>Years per decision = 1 / (DU/day × 365)</t>
  </si>
  <si>
    <t>Important</t>
  </si>
  <si>
    <t>These are editable scenario assumptions, not claims about guaranteed real-world results.</t>
  </si>
  <si>
    <t>Suggested defaults are intentionally editable. Casino, poker, and trading rows can swing dramatically based on actual volume and unit size, so use this workbook as a scenario model.</t>
  </si>
  <si>
    <t>ItemNo</t>
  </si>
  <si>
    <t>Category</t>
  </si>
  <si>
    <t>OriginalCategoryType</t>
  </si>
  <si>
    <t>Subsection</t>
  </si>
  <si>
    <t>ModelBasis</t>
  </si>
  <si>
    <t>Layer</t>
  </si>
  <si>
    <t>Name</t>
  </si>
  <si>
    <t>OriginalEdgePct_Input</t>
  </si>
  <si>
    <t>1 Trade</t>
  </si>
  <si>
    <t>1 Bet</t>
  </si>
  <si>
    <t>1 Day</t>
  </si>
  <si>
    <t>1 Week</t>
  </si>
  <si>
    <t>1 Month</t>
  </si>
  <si>
    <t>1 Year</t>
  </si>
  <si>
    <t>5 Years</t>
  </si>
  <si>
    <t>10 Years</t>
  </si>
  <si>
    <t>Stock Market</t>
  </si>
  <si>
    <t>Compound</t>
  </si>
  <si>
    <t>raw</t>
  </si>
  <si>
    <t>NASDAQ 100 (QQQ)</t>
  </si>
  <si>
    <t>S&amp;P 500 Growth (IVW)</t>
  </si>
  <si>
    <t>Small-Cap Value (VBR)</t>
  </si>
  <si>
    <t>S&amp;P MidCap 400 (MDY)</t>
  </si>
  <si>
    <t>Dividend Aristocrats (NOBL)</t>
  </si>
  <si>
    <t>Total US Stock Market (VTI)</t>
  </si>
  <si>
    <t>S&amp;P 500 Index (SPY/VOO)</t>
  </si>
  <si>
    <t>S&amp;P 500 Equal Weight (RSP)</t>
  </si>
  <si>
    <t>Dow Jones Industrial (DIA)</t>
  </si>
  <si>
    <t>S&amp;P 500 Value (IVE)</t>
  </si>
  <si>
    <t>Russell 2000 Small Cap (IWM)</t>
  </si>
  <si>
    <t>REIT Index ETF (VNQ)</t>
  </si>
  <si>
    <t>S&amp;P 500 High Dividend (SPYD)</t>
  </si>
  <si>
    <t>DAX Germany Index</t>
  </si>
  <si>
    <t>Nikkei 225 Japan Index</t>
  </si>
  <si>
    <t>MSCI EAFE Intl Developed (EFA)</t>
  </si>
  <si>
    <t>FTSE 100 UK Index</t>
  </si>
  <si>
    <t>MSCI Emerging Markets (EEM)</t>
  </si>
  <si>
    <t>Gold / Precious Metals (GLD)</t>
  </si>
  <si>
    <t>Commodity Index (DJP)</t>
  </si>
  <si>
    <t>Individual Stock Picking (Retail)</t>
  </si>
  <si>
    <t>Penny Stocks (Retail Avg)</t>
  </si>
  <si>
    <t>fee</t>
  </si>
  <si>
    <t>S&amp;P 500 After 0.03% Index Fee</t>
  </si>
  <si>
    <t>S&amp;P 500 After 0.35% Robo-Advisor</t>
  </si>
  <si>
    <t>S&amp;P 500 After 0.60% Target-Date Fund</t>
  </si>
  <si>
    <t>S&amp;P 500 After 1% Advisory Fee</t>
  </si>
  <si>
    <t>S&amp;P 500 After 1.5% Active Mutual Fund</t>
  </si>
  <si>
    <t>S&amp;P 500 After 2-and-20 Hedge Fund</t>
  </si>
  <si>
    <t>S&amp;P 500 After 2-and-20 (Underperforming)</t>
  </si>
  <si>
    <t>tax</t>
  </si>
  <si>
    <t>S&amp;P 500 After LTCG Tax (20%)</t>
  </si>
  <si>
    <t>S&amp;P 500 After STCG Tax (37%)</t>
  </si>
  <si>
    <t>S&amp;P 500 After 1% Fee + LTCG Tax</t>
  </si>
  <si>
    <t>Qualified Dividends (SPYD) After 15% Tax</t>
  </si>
  <si>
    <t>Bonds</t>
  </si>
  <si>
    <t>High-Yield Corporate (HYG/JNK)</t>
  </si>
  <si>
    <t>Convertible Bond ETF (CWB)</t>
  </si>
  <si>
    <t>Investment Grade Corporate (LQD)</t>
  </si>
  <si>
    <t>US Treasury Bills (BIL)</t>
  </si>
  <si>
    <t>Long-Term Treasury 20+ Yr (TLT)</t>
  </si>
  <si>
    <t>US Treasury 10-Year</t>
  </si>
  <si>
    <t>Total US Bond Market (BND/AGG)</t>
  </si>
  <si>
    <t>Municipal Bond Index (MUB)</t>
  </si>
  <si>
    <t>Aggregate Bond ETF (AGG)</t>
  </si>
  <si>
    <t>International Bond (BNDX)</t>
  </si>
  <si>
    <t>Short-Term Treasury (SHY)</t>
  </si>
  <si>
    <t>TIPS Inflation-Protected (TIP)</t>
  </si>
  <si>
    <t>Bond Fund After 1% Advisory Fee</t>
  </si>
  <si>
    <t>Bond Interest After Income Tax (37%)</t>
  </si>
  <si>
    <t>Muni Bonds Tax-Exempt (Effective)</t>
  </si>
  <si>
    <t>Treasury Interest After Federal Tax (24%)</t>
  </si>
  <si>
    <t>Real Estate</t>
  </si>
  <si>
    <t>Multi-Unit Apartments (5+ Units)</t>
  </si>
  <si>
    <t>Industrial / Warehouse</t>
  </si>
  <si>
    <t>Multi Single Family Portfolio</t>
  </si>
  <si>
    <t>Single Family Home (Buy &amp; Hold)</t>
  </si>
  <si>
    <t>Commercial Office Space</t>
  </si>
  <si>
    <t>Retail / Strip Mall</t>
  </si>
  <si>
    <t>Vacation / Short-Term Rental</t>
  </si>
  <si>
    <t>Raw Land (Speculative)</t>
  </si>
  <si>
    <t>House Flipping (Retail Avg)</t>
  </si>
  <si>
    <t>Timeshare</t>
  </si>
  <si>
    <t>Rental Income After Ordinary Tax (37%)</t>
  </si>
  <si>
    <t>Home Sale After LTCG (w/ $250K Exclusion)</t>
  </si>
  <si>
    <t>Cryptocurrency</t>
  </si>
  <si>
    <t>Bitcoin Spot (Buy &amp; Hold)</t>
  </si>
  <si>
    <t>Ethereum Spot (Buy &amp; Hold)</t>
  </si>
  <si>
    <t>Stablecoin Yield Farming</t>
  </si>
  <si>
    <t>DeFi LP Major Pairs</t>
  </si>
  <si>
    <t>DeFi LP Volatile Pairs</t>
  </si>
  <si>
    <t>Altcoin Portfolio (Retail)</t>
  </si>
  <si>
    <t>Meme Coins (Retail Avg)</t>
  </si>
  <si>
    <t>Bitcoin After LTCG Tax (20%)</t>
  </si>
  <si>
    <t>Bitcoin After STCG Tax (37%)</t>
  </si>
  <si>
    <t>Ethereum After LTCG Tax (20%)</t>
  </si>
  <si>
    <t>Options &amp; Derivatives</t>
  </si>
  <si>
    <t>Mixed</t>
  </si>
  <si>
    <t>Compound Entries</t>
  </si>
  <si>
    <t>Iron Condor Selling</t>
  </si>
  <si>
    <t>Cash-Secured Put Selling</t>
  </si>
  <si>
    <t>Covered Call Writing</t>
  </si>
  <si>
    <t>Managed Futures / CTA</t>
  </si>
  <si>
    <t>Iron Condor After STCG Tax (37%)</t>
  </si>
  <si>
    <t>Cash-Secured Put After STCG Tax (37%)</t>
  </si>
  <si>
    <t>Covered Call After STCG Tax (37%)</t>
  </si>
  <si>
    <t>Managed Futures After 60/40 Tax (26.8%)</t>
  </si>
  <si>
    <t>Linear Entries</t>
  </si>
  <si>
    <t>Linear</t>
  </si>
  <si>
    <t>Commodity Futures (Retail)</t>
  </si>
  <si>
    <t>ATM Options Buying (30-Day)</t>
  </si>
  <si>
    <t>Leveraged Futures Day Trading</t>
  </si>
  <si>
    <t>OTM Options Buying (30-Day)</t>
  </si>
  <si>
    <t>0DTE Options (Retail Avg)</t>
  </si>
  <si>
    <t>Deep OTM Weekly Options</t>
  </si>
  <si>
    <t>Active Trading</t>
  </si>
  <si>
    <t>Systematic Trend Following</t>
  </si>
  <si>
    <t>Social/Copy Trading (Retail)</t>
  </si>
  <si>
    <t>Momentum Trading (Retail)</t>
  </si>
  <si>
    <t>Retail Forex Trading</t>
  </si>
  <si>
    <t>CFD Trading (Retail, Leveraged)</t>
  </si>
  <si>
    <t>Retail Day Trading</t>
  </si>
  <si>
    <t>Crypto Day Trading (Retail)</t>
  </si>
  <si>
    <t>Binary Options (Retail)</t>
  </si>
  <si>
    <t>Trend Following After STCG Tax (37%)</t>
  </si>
  <si>
    <t>Day Trading After Income Tax (37%)</t>
  </si>
  <si>
    <t>Collectibles</t>
  </si>
  <si>
    <t>Vintage Sports Cards (PSA 10)</t>
  </si>
  <si>
    <t>Fine Art (Blue Chip / Old Masters)</t>
  </si>
  <si>
    <t>Fine Wine (Investment Grade)</t>
  </si>
  <si>
    <t>Classic Cars (Pre-1970)</t>
  </si>
  <si>
    <t>Luxury Watches (Rolex/Patek)</t>
  </si>
  <si>
    <t>Precious Coins (Numismatic)</t>
  </si>
  <si>
    <t>Sneaker Reselling (Retail Avg)</t>
  </si>
  <si>
    <t>Modern Art Speculation</t>
  </si>
  <si>
    <t>Non-Vintage Trading Cards</t>
  </si>
  <si>
    <t>NFT Art &amp; Digital Collectibles</t>
  </si>
  <si>
    <t>Collectibles After 28% Tax Rate</t>
  </si>
  <si>
    <t>Sports Betting</t>
  </si>
  <si>
    <t>Single Game Spread (-110)</t>
  </si>
  <si>
    <t>Single Game O/U (-110)</t>
  </si>
  <si>
    <t>Moneyline (Standard Juice)</t>
  </si>
  <si>
    <t>Teaser 2-Team 6pt</t>
  </si>
  <si>
    <t>Live / In-Game Bet</t>
  </si>
  <si>
    <t>Player Prop Bet</t>
  </si>
  <si>
    <t>Season Win Total Future</t>
  </si>
  <si>
    <t>2-Team Parlay</t>
  </si>
  <si>
    <t>Championship Future</t>
  </si>
  <si>
    <t>3-Team Parlay</t>
  </si>
  <si>
    <t>4-Team Parlay</t>
  </si>
  <si>
    <t>Same-Game Parlay (SGP)</t>
  </si>
  <si>
    <t>First Touchdown Scorer</t>
  </si>
  <si>
    <t>5-Team Parlay</t>
  </si>
  <si>
    <t>Correct Score (Soccer)</t>
  </si>
  <si>
    <t>6-Team Parlay</t>
  </si>
  <si>
    <t>8-Team Parlay</t>
  </si>
  <si>
    <t>10-Team Parlay</t>
  </si>
  <si>
    <t>Casino Gambling</t>
  </si>
  <si>
    <t>Blackjack (Card Counting Hi-Lo)</t>
  </si>
  <si>
    <t>Video Poker 9/6 JoB (Perfect Play)</t>
  </si>
  <si>
    <t>Blackjack 3:2 (Basic Strategy)</t>
  </si>
  <si>
    <t>Baccarat Banker (5% Commission)</t>
  </si>
  <si>
    <t>Baccarat Player</t>
  </si>
  <si>
    <t>Craps Don't Pass</t>
  </si>
  <si>
    <t>Craps Pass Line</t>
  </si>
  <si>
    <t>Blackjack 6:5 (Basic Strategy)</t>
  </si>
  <si>
    <t>Pai Gow Poker</t>
  </si>
  <si>
    <t>Roulette Single Zero</t>
  </si>
  <si>
    <t>Three Card Poker</t>
  </si>
  <si>
    <t>Let It Ride</t>
  </si>
  <si>
    <t>Slots Loose (95% RTP)</t>
  </si>
  <si>
    <t>Caribbean Stud Poker</t>
  </si>
  <si>
    <t>Roulette Double Zero</t>
  </si>
  <si>
    <t>Slots Average (92% RTP)</t>
  </si>
  <si>
    <t>Slots Tight (85% RTP)</t>
  </si>
  <si>
    <t>Big Six Wheel</t>
  </si>
  <si>
    <t>Keno 4-Spot</t>
  </si>
  <si>
    <t>Keno 10-Spot</t>
  </si>
  <si>
    <t>Card Counting After Income Tax (37%)</t>
  </si>
  <si>
    <t>Poker &amp; Skill-Based</t>
  </si>
  <si>
    <t>Poker Elite Pro (High Stakes)</t>
  </si>
  <si>
    <t>Poker Skilled (Live Cash)</t>
  </si>
  <si>
    <t>DFS Top 5% Player</t>
  </si>
  <si>
    <t>Poker Skilled (Online)</t>
  </si>
  <si>
    <t>Backgammon Tournament (Skilled)</t>
  </si>
  <si>
    <t>Poker Skilled (Tournaments)</t>
  </si>
  <si>
    <t>Poker Mid-Stakes Reg (6-max)</t>
  </si>
  <si>
    <t>Poker Average (Live Cash)</t>
  </si>
  <si>
    <t>Poker Average (Online)</t>
  </si>
  <si>
    <t>Poker Recreational (Live Cash)</t>
  </si>
  <si>
    <t>DFS Average Player</t>
  </si>
  <si>
    <t>Poker Sit &amp; Go (Average)</t>
  </si>
  <si>
    <t>DFS Casual Player</t>
  </si>
  <si>
    <t>Poker Pro After Income Tax (37%)</t>
  </si>
  <si>
    <t>Prediction Markets</t>
  </si>
  <si>
    <t>Polymarket Elections</t>
  </si>
  <si>
    <t>Polymarket SCOTUS / Events</t>
  </si>
  <si>
    <t>Metaculus Scientific Questions</t>
  </si>
  <si>
    <t>Polymarket Oscars / Culture</t>
  </si>
  <si>
    <t>Polymarket Geopolitics / World</t>
  </si>
  <si>
    <t>Polymarket Sports / Entertainment</t>
  </si>
  <si>
    <t>Polymarket Crypto Prices</t>
  </si>
  <si>
    <t>Kalshi Economic Events</t>
  </si>
  <si>
    <t>Kalshi Fed Rate Decision</t>
  </si>
  <si>
    <t>Kalshi GDP Forecast</t>
  </si>
  <si>
    <t>Kalshi Weather Events</t>
  </si>
  <si>
    <t>PredictIt US Politics (5%+5%)</t>
  </si>
  <si>
    <t>Lottery</t>
  </si>
  <si>
    <t>$1 Scratch-Off (Best Odds)</t>
  </si>
  <si>
    <t>Premium Scratch-Off ($20+)</t>
  </si>
  <si>
    <t>Scratch-Off Tickets (Avg)</t>
  </si>
  <si>
    <t>Keno State-Run</t>
  </si>
  <si>
    <t>Daily Numbers Game</t>
  </si>
  <si>
    <t>State Pick 6 / Lotto</t>
  </si>
  <si>
    <t>State Lottery Pick 3/4</t>
  </si>
  <si>
    <t>Powerball / Mega Millions</t>
  </si>
  <si>
    <t>Multi-State Cash4Life</t>
  </si>
  <si>
    <t>OriginalEdgePct</t>
  </si>
  <si>
    <t>EdgeInputBasis</t>
  </si>
  <si>
    <t>DU_per_Day</t>
  </si>
  <si>
    <t>DU_1_Decision</t>
  </si>
  <si>
    <t>DU_1_Day</t>
  </si>
  <si>
    <t>DU_1_Week</t>
  </si>
  <si>
    <t>DU_1_Month</t>
  </si>
  <si>
    <t>DU_1_Year</t>
  </si>
  <si>
    <t>DU_5_Years</t>
  </si>
  <si>
    <t>DU_10_Years</t>
  </si>
  <si>
    <t>Std_1_Decision</t>
  </si>
  <si>
    <t>Std_1_Day</t>
  </si>
  <si>
    <t>Std_1_Week</t>
  </si>
  <si>
    <t>Std_1_Month</t>
  </si>
  <si>
    <t>Std_1_Year</t>
  </si>
  <si>
    <t>Std_5_Years</t>
  </si>
  <si>
    <t>Std_10_Years</t>
  </si>
  <si>
    <t>Assumption_Note</t>
  </si>
  <si>
    <t>Annualized</t>
  </si>
  <si>
    <t>Long-term allocation; roughly 5 portfolio decisions per year</t>
  </si>
  <si>
    <t>Retail stock picking; monthly-ish decision cadence</t>
  </si>
  <si>
    <t>Speculative equity trading; higher turnover, smaller position size</t>
  </si>
  <si>
    <t>Low-turnover allocation; roughly quarterly decisions</t>
  </si>
  <si>
    <t>Core real-estate allocation; ~1-2 major decisions per year</t>
  </si>
  <si>
    <t>Lower-frequency property allocation</t>
  </si>
  <si>
    <t>Speculative land exposure; very low turnover</t>
  </si>
  <si>
    <t>Project-based real estate; a few decisions per year</t>
  </si>
  <si>
    <t>Very low-turnover real asset exposure</t>
  </si>
  <si>
    <t>Core crypto allocation; moderate turnover</t>
  </si>
  <si>
    <t>Yield strategy; low turnover</t>
  </si>
  <si>
    <t>Volatile LP strategy; moderate sizing</t>
  </si>
  <si>
    <t>Higher-turnover speculative crypto basket</t>
  </si>
  <si>
    <t>Very high speculation; small position size recommended</t>
  </si>
  <si>
    <t>Monthly premium-selling cycle; defined-risk sizing</t>
  </si>
  <si>
    <t>Lower-frequency options income strategy</t>
  </si>
  <si>
    <t>Overlay strategy on existing holdings</t>
  </si>
  <si>
    <t>Managed futures / systematic alternatives</t>
  </si>
  <si>
    <t>Per Decision</t>
  </si>
  <si>
    <t>Retail futures speculation</t>
  </si>
  <si>
    <t>Lower-frequency directional option bets</t>
  </si>
  <si>
    <t>Intraday leveraged trading</t>
  </si>
  <si>
    <t>Short-dated speculative option buying</t>
  </si>
  <si>
    <t>Very high-frequency short-dated speculation</t>
  </si>
  <si>
    <t>Systematic trend program; moderate turnover</t>
  </si>
  <si>
    <t>Moderate active-trading cadence</t>
  </si>
  <si>
    <t>Frequent leveraged trading</t>
  </si>
  <si>
    <t>High-frequency retail trading</t>
  </si>
  <si>
    <t>High-frequency retail trading style</t>
  </si>
  <si>
    <t>Active trading</t>
  </si>
  <si>
    <t>Illiquid alternative asset; low turnover</t>
  </si>
  <si>
    <t>Speculative collectible turnover</t>
  </si>
  <si>
    <t>Speculative digital collectible exposure</t>
  </si>
  <si>
    <t>Core single-game betting cadence</t>
  </si>
  <si>
    <t>Higher-volume event betting</t>
  </si>
  <si>
    <t>Low-frequency futures market betting</t>
  </si>
  <si>
    <t>Lower-frequency, higher-house-edge ticket</t>
  </si>
  <si>
    <t>Long-shot prop betting</t>
  </si>
  <si>
    <t>High-volume advantage play with very small unit size</t>
  </si>
  <si>
    <t>Machine-play volume can be very high</t>
  </si>
  <si>
    <t>Typical table-game hand count</t>
  </si>
  <si>
    <t>Fast table-game cadence</t>
  </si>
  <si>
    <t>Moderate table-game pace</t>
  </si>
  <si>
    <t>Slower table pace</t>
  </si>
  <si>
    <t>Typical wheel pace</t>
  </si>
  <si>
    <t>General table-game pace</t>
  </si>
  <si>
    <t>Very high spin volume; tiny wager fraction</t>
  </si>
  <si>
    <t>Lower-frequency lotto/casino hybrid</t>
  </si>
  <si>
    <t>Live cash-game hand volume</t>
  </si>
  <si>
    <t>Contest-entry cadence</t>
  </si>
  <si>
    <t>Online volume can be very high</t>
  </si>
  <si>
    <t>Tournament entries as the decision unit</t>
  </si>
  <si>
    <t>General event-contract participation</t>
  </si>
  <si>
    <t>Long-duration forecasting market</t>
  </si>
  <si>
    <t>Faster event cadence</t>
  </si>
  <si>
    <t>Event-driven market cadence</t>
  </si>
  <si>
    <t>A few tickets per week</t>
  </si>
  <si>
    <t>Frequent lottery/casino hybrid</t>
  </si>
  <si>
    <t>Frequent low-stake lottery play</t>
  </si>
  <si>
    <t>Occasional jackpot-ticket purchase</t>
  </si>
  <si>
    <t>Items</t>
  </si>
  <si>
    <t>Avg_DU_per_Day</t>
  </si>
  <si>
    <t>Avg_CED</t>
  </si>
  <si>
    <t>Avg_Original_Edge</t>
  </si>
  <si>
    <t>Avg_Std_1Y</t>
  </si>
  <si>
    <t>Avg_Std_10Y</t>
  </si>
  <si>
    <t>Edge Spectrum V9 - Dashboard</t>
  </si>
  <si>
    <t>Metric</t>
  </si>
  <si>
    <t>Value</t>
  </si>
  <si>
    <t>Rows in model</t>
  </si>
  <si>
    <t>Categories</t>
  </si>
  <si>
    <t>Source file</t>
  </si>
  <si>
    <t>edge_analysis9.md</t>
  </si>
  <si>
    <t>Avg Std 1Y Return</t>
  </si>
  <si>
    <t>Avg Std 10Y Return</t>
  </si>
  <si>
    <t>Avg DU/Day</t>
  </si>
  <si>
    <t>Interpretation: higher DU/day means more decision frequency. Standardized returns are driven by OriginalEdgePct, DU/day, and CED. Edit assumptions on the Standardized_Model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</si>
</sst>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4"/>
      <color rgb="FFFFFFFF"/>
      <name val="Carlito"/>
    </font>
    <font>
      <sz val="11"/>
      <color rgb="FF78350F"/>
      <name val="Carlito"/>
    </font>
    <font>
      <b/>
      <sz val="11"/>
      <color rgb="FFFFFFFF"/>
      <name val="Carlito"/>
    </font>
    <font>
      <b/>
      <sz val="11"/>
      <color rgb="FF0F172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wrapText="1"/>
    </xf>
    <xf numFmtId="0" fontId="3" fillId="5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Avg Standardized 1Y Return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Std 1Y Return</c:v>
          </c:tx>
          <c:invertIfNegative val="1"/>
          <c:cat>
            <c:strRef>
              <c:f>Dashboard!$A$9:$A$20</c:f>
              <c:strCache>
                <c:ptCount val="12"/>
                <c:pt idx="0">
                  <c:v>Active Trading</c:v>
                </c:pt>
                <c:pt idx="1">
                  <c:v>Bonds</c:v>
                </c:pt>
                <c:pt idx="2">
                  <c:v>Casino Gambling</c:v>
                </c:pt>
                <c:pt idx="3">
                  <c:v>Collectibles</c:v>
                </c:pt>
                <c:pt idx="4">
                  <c:v>Cryptocurrency</c:v>
                </c:pt>
                <c:pt idx="5">
                  <c:v>Lottery</c:v>
                </c:pt>
                <c:pt idx="6">
                  <c:v>Options &amp; Derivatives</c:v>
                </c:pt>
                <c:pt idx="7">
                  <c:v>Poker &amp; Skill-Based</c:v>
                </c:pt>
                <c:pt idx="8">
                  <c:v>Prediction Markets</c:v>
                </c:pt>
                <c:pt idx="9">
                  <c:v>Real Estate</c:v>
                </c:pt>
                <c:pt idx="10">
                  <c:v>Sports Betting</c:v>
                </c:pt>
                <c:pt idx="11">
                  <c:v>Stock Market</c:v>
                </c:pt>
              </c:strCache>
            </c:strRef>
          </c:cat>
          <c:val>
            <c:numRef>
              <c:f>Dashboard!$B$9:$B$20</c:f>
              <c:numCache>
                <c:formatCode>0.00%</c:formatCode>
                <c:ptCount val="12"/>
                <c:pt idx="0">
                  <c:v>-4.1455000000000016E-3</c:v>
                </c:pt>
                <c:pt idx="1">
                  <c:v>3.4187499999999954E-2</c:v>
                </c:pt>
                <c:pt idx="2">
                  <c:v>-4.0132619047619054</c:v>
                </c:pt>
                <c:pt idx="3">
                  <c:v>-9.0909090908979966E-6</c:v>
                </c:pt>
                <c:pt idx="4">
                  <c:v>7.5295000000000015E-2</c:v>
                </c:pt>
                <c:pt idx="5">
                  <c:v>-0.1443777777777778</c:v>
                </c:pt>
                <c:pt idx="6">
                  <c:v>-3.6278635714285712</c:v>
                </c:pt>
                <c:pt idx="7">
                  <c:v>-0.971838571428571</c:v>
                </c:pt>
                <c:pt idx="8">
                  <c:v>-0.22652812499999997</c:v>
                </c:pt>
                <c:pt idx="9">
                  <c:v>3.9899999999999984E-2</c:v>
                </c:pt>
                <c:pt idx="10">
                  <c:v>-0.96694583333333328</c:v>
                </c:pt>
                <c:pt idx="11">
                  <c:v>7.2642424242424272E-2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7-4C32-9F01-096B47D58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Avg Standardized 10Y Return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Std 10Y Return</c:v>
          </c:tx>
          <c:invertIfNegative val="1"/>
          <c:cat>
            <c:strRef>
              <c:f>Dashboard!$D$9:$D$20</c:f>
              <c:strCache>
                <c:ptCount val="12"/>
                <c:pt idx="0">
                  <c:v>Active Trading</c:v>
                </c:pt>
                <c:pt idx="1">
                  <c:v>Bonds</c:v>
                </c:pt>
                <c:pt idx="2">
                  <c:v>Casino Gambling</c:v>
                </c:pt>
                <c:pt idx="3">
                  <c:v>Collectibles</c:v>
                </c:pt>
                <c:pt idx="4">
                  <c:v>Cryptocurrency</c:v>
                </c:pt>
                <c:pt idx="5">
                  <c:v>Lottery</c:v>
                </c:pt>
                <c:pt idx="6">
                  <c:v>Options &amp; Derivatives</c:v>
                </c:pt>
                <c:pt idx="7">
                  <c:v>Poker &amp; Skill-Based</c:v>
                </c:pt>
                <c:pt idx="8">
                  <c:v>Prediction Markets</c:v>
                </c:pt>
                <c:pt idx="9">
                  <c:v>Real Estate</c:v>
                </c:pt>
                <c:pt idx="10">
                  <c:v>Sports Betting</c:v>
                </c:pt>
                <c:pt idx="11">
                  <c:v>Stock Market</c:v>
                </c:pt>
              </c:strCache>
            </c:strRef>
          </c:cat>
          <c:val>
            <c:numRef>
              <c:f>Dashboard!$E$9:$E$20</c:f>
              <c:numCache>
                <c:formatCode>0.00%</c:formatCode>
                <c:ptCount val="12"/>
                <c:pt idx="0">
                  <c:v>-3.5892350717725507E-2</c:v>
                </c:pt>
                <c:pt idx="1">
                  <c:v>0.40601519077596726</c:v>
                </c:pt>
                <c:pt idx="2">
                  <c:v>-40.132619047619045</c:v>
                </c:pt>
                <c:pt idx="3">
                  <c:v>7.7375407018378639E-2</c:v>
                </c:pt>
                <c:pt idx="4">
                  <c:v>2.8898845471344381</c:v>
                </c:pt>
                <c:pt idx="5">
                  <c:v>-1.4437777777777778</c:v>
                </c:pt>
                <c:pt idx="6">
                  <c:v>-36.257814273861605</c:v>
                </c:pt>
                <c:pt idx="7">
                  <c:v>-9.71838571428572</c:v>
                </c:pt>
                <c:pt idx="8">
                  <c:v>-2.2652812500000001</c:v>
                </c:pt>
                <c:pt idx="9">
                  <c:v>0.66170720334295041</c:v>
                </c:pt>
                <c:pt idx="10">
                  <c:v>-9.669458333333333</c:v>
                </c:pt>
                <c:pt idx="11">
                  <c:v>1.1276842533002949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B-4BB7-A0AD-DE5AC02B2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Avg DU/Day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DU/Day</c:v>
          </c:tx>
          <c:invertIfNegative val="1"/>
          <c:cat>
            <c:strRef>
              <c:f>Dashboard!$G$9:$G$20</c:f>
              <c:strCache>
                <c:ptCount val="12"/>
                <c:pt idx="0">
                  <c:v>Active Trading</c:v>
                </c:pt>
                <c:pt idx="1">
                  <c:v>Bonds</c:v>
                </c:pt>
                <c:pt idx="2">
                  <c:v>Casino Gambling</c:v>
                </c:pt>
                <c:pt idx="3">
                  <c:v>Collectibles</c:v>
                </c:pt>
                <c:pt idx="4">
                  <c:v>Cryptocurrency</c:v>
                </c:pt>
                <c:pt idx="5">
                  <c:v>Lottery</c:v>
                </c:pt>
                <c:pt idx="6">
                  <c:v>Options &amp; Derivatives</c:v>
                </c:pt>
                <c:pt idx="7">
                  <c:v>Poker &amp; Skill-Based</c:v>
                </c:pt>
                <c:pt idx="8">
                  <c:v>Prediction Markets</c:v>
                </c:pt>
                <c:pt idx="9">
                  <c:v>Real Estate</c:v>
                </c:pt>
                <c:pt idx="10">
                  <c:v>Sports Betting</c:v>
                </c:pt>
                <c:pt idx="11">
                  <c:v>Stock Market</c:v>
                </c:pt>
              </c:strCache>
            </c:strRef>
          </c:cat>
          <c:val>
            <c:numRef>
              <c:f>Dashboard!$H$9:$H$20</c:f>
              <c:numCache>
                <c:formatCode>0.00</c:formatCode>
                <c:ptCount val="12"/>
                <c:pt idx="0">
                  <c:v>5.0299999999999994</c:v>
                </c:pt>
                <c:pt idx="1">
                  <c:v>0.01</c:v>
                </c:pt>
                <c:pt idx="2">
                  <c:v>107.38095238095238</c:v>
                </c:pt>
                <c:pt idx="3">
                  <c:v>1.8636363636363638E-2</c:v>
                </c:pt>
                <c:pt idx="4">
                  <c:v>8.4000000000000005E-2</c:v>
                </c:pt>
                <c:pt idx="5">
                  <c:v>0.20000000000000007</c:v>
                </c:pt>
                <c:pt idx="6">
                  <c:v>1.8757142857142857</c:v>
                </c:pt>
                <c:pt idx="7">
                  <c:v>123.13571428571427</c:v>
                </c:pt>
                <c:pt idx="8">
                  <c:v>0.39583333333333326</c:v>
                </c:pt>
                <c:pt idx="9">
                  <c:v>4.333333333333334E-3</c:v>
                </c:pt>
                <c:pt idx="10">
                  <c:v>1.5922222222222224</c:v>
                </c:pt>
                <c:pt idx="11">
                  <c:v>2.7272727272727282E-2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8-4467-920C-72B138385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4</xdr:col>
      <xdr:colOff>0</xdr:colOff>
      <xdr:row>60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iginalV9Table" displayName="OriginalV9Table" ref="A1:P181">
  <tableColumns count="16">
    <tableColumn id="1" xr3:uid="{00000000-0010-0000-0000-000001000000}" name="ItemNo"/>
    <tableColumn id="2" xr3:uid="{00000000-0010-0000-0000-000002000000}" name="Category"/>
    <tableColumn id="3" xr3:uid="{00000000-0010-0000-0000-000003000000}" name="OriginalCategoryType"/>
    <tableColumn id="4" xr3:uid="{00000000-0010-0000-0000-000004000000}" name="Subsection"/>
    <tableColumn id="5" xr3:uid="{00000000-0010-0000-0000-000005000000}" name="ModelBasis"/>
    <tableColumn id="6" xr3:uid="{00000000-0010-0000-0000-000006000000}" name="Layer"/>
    <tableColumn id="7" xr3:uid="{00000000-0010-0000-0000-000007000000}" name="Name"/>
    <tableColumn id="8" xr3:uid="{00000000-0010-0000-0000-000008000000}" name="OriginalEdgePct_Input"/>
    <tableColumn id="9" xr3:uid="{00000000-0010-0000-0000-000009000000}" name="1 Trade"/>
    <tableColumn id="10" xr3:uid="{00000000-0010-0000-0000-00000A000000}" name="1 Bet"/>
    <tableColumn id="11" xr3:uid="{00000000-0010-0000-0000-00000B000000}" name="1 Day"/>
    <tableColumn id="12" xr3:uid="{00000000-0010-0000-0000-00000C000000}" name="1 Week"/>
    <tableColumn id="13" xr3:uid="{00000000-0010-0000-0000-00000D000000}" name="1 Month"/>
    <tableColumn id="14" xr3:uid="{00000000-0010-0000-0000-00000E000000}" name="1 Year"/>
    <tableColumn id="15" xr3:uid="{00000000-0010-0000-0000-00000F000000}" name="5 Years"/>
    <tableColumn id="16" xr3:uid="{00000000-0010-0000-0000-000010000000}" name="10 Yea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ategorySummaryTable" displayName="CategorySummaryTable" ref="A1:G13">
  <tableColumns count="7">
    <tableColumn id="1" xr3:uid="{00000000-0010-0000-0200-000001000000}" name="Category"/>
    <tableColumn id="2" xr3:uid="{00000000-0010-0000-0200-000002000000}" name="Items"/>
    <tableColumn id="3" xr3:uid="{00000000-0010-0000-0200-000003000000}" name="Avg_DU_per_Day"/>
    <tableColumn id="4" xr3:uid="{00000000-0010-0000-0200-000004000000}" name="Avg_CED"/>
    <tableColumn id="5" xr3:uid="{00000000-0010-0000-0200-000005000000}" name="Avg_Original_Edge"/>
    <tableColumn id="6" xr3:uid="{00000000-0010-0000-0200-000006000000}" name="Avg_Std_1Y"/>
    <tableColumn id="7" xr3:uid="{00000000-0010-0000-0200-000007000000}" name="Avg_Std_10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sqref="A1:H1"/>
    </sheetView>
  </sheetViews>
  <sheetFormatPr defaultRowHeight="15" x14ac:dyDescent="0.25"/>
  <cols>
    <col min="1" max="1" width="195.25" customWidth="1"/>
    <col min="2" max="2" width="96.25" customWidth="1"/>
  </cols>
  <sheetData>
    <row r="1" spans="1:8" ht="17.100000000000001" customHeight="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17.100000000000001" customHeight="1" x14ac:dyDescent="0.25">
      <c r="A2" s="3"/>
      <c r="B2" s="3"/>
      <c r="C2" s="3"/>
      <c r="D2" s="3"/>
      <c r="E2" s="3"/>
      <c r="F2" s="3"/>
      <c r="G2" s="3"/>
      <c r="H2" s="3"/>
    </row>
    <row r="3" spans="1:8" ht="17.100000000000001" customHeight="1" x14ac:dyDescent="0.25">
      <c r="A3" s="7" t="s">
        <v>1</v>
      </c>
      <c r="B3" s="7"/>
      <c r="C3" s="7"/>
      <c r="D3" s="7"/>
      <c r="E3" s="7"/>
      <c r="F3" s="7"/>
      <c r="G3" s="7"/>
      <c r="H3" s="7"/>
    </row>
    <row r="4" spans="1:8" ht="17.100000000000001" customHeight="1" x14ac:dyDescent="0.25">
      <c r="A4" s="3"/>
      <c r="B4" s="3"/>
      <c r="C4" s="3"/>
      <c r="D4" s="3"/>
      <c r="E4" s="3"/>
      <c r="F4" s="3"/>
      <c r="G4" s="3"/>
      <c r="H4" s="3"/>
    </row>
    <row r="5" spans="1:8" ht="17.100000000000001" customHeight="1" x14ac:dyDescent="0.25">
      <c r="A5" s="1" t="s">
        <v>2</v>
      </c>
      <c r="B5" s="1" t="s">
        <v>3</v>
      </c>
      <c r="C5" s="3"/>
      <c r="D5" s="3"/>
      <c r="E5" s="3"/>
      <c r="F5" s="3"/>
      <c r="G5" s="3"/>
      <c r="H5" s="3"/>
    </row>
    <row r="6" spans="1:8" ht="17.100000000000001" customHeight="1" x14ac:dyDescent="0.25">
      <c r="A6" s="3" t="s">
        <v>4</v>
      </c>
      <c r="B6" s="3" t="s">
        <v>5</v>
      </c>
      <c r="C6" s="3"/>
      <c r="D6" s="3"/>
      <c r="E6" s="3"/>
      <c r="F6" s="3"/>
      <c r="G6" s="3"/>
      <c r="H6" s="3"/>
    </row>
    <row r="7" spans="1:8" ht="17.100000000000001" customHeight="1" x14ac:dyDescent="0.25">
      <c r="A7" s="3" t="s">
        <v>6</v>
      </c>
      <c r="B7" s="3" t="s">
        <v>7</v>
      </c>
      <c r="C7" s="3"/>
      <c r="D7" s="3"/>
      <c r="E7" s="3"/>
      <c r="F7" s="3"/>
      <c r="G7" s="3"/>
      <c r="H7" s="3"/>
    </row>
    <row r="8" spans="1:8" ht="17.100000000000001" customHeight="1" x14ac:dyDescent="0.25">
      <c r="A8" s="3" t="s">
        <v>8</v>
      </c>
      <c r="B8" s="3" t="s">
        <v>9</v>
      </c>
      <c r="C8" s="3"/>
      <c r="D8" s="3"/>
      <c r="E8" s="3"/>
      <c r="F8" s="3"/>
      <c r="G8" s="3"/>
      <c r="H8" s="3"/>
    </row>
    <row r="9" spans="1:8" ht="17.100000000000001" customHeight="1" x14ac:dyDescent="0.25">
      <c r="A9" s="3" t="s">
        <v>10</v>
      </c>
      <c r="B9" s="3" t="s">
        <v>11</v>
      </c>
      <c r="C9" s="3"/>
      <c r="D9" s="3"/>
      <c r="E9" s="3"/>
      <c r="F9" s="3"/>
      <c r="G9" s="3"/>
      <c r="H9" s="3"/>
    </row>
    <row r="10" spans="1:8" ht="17.100000000000001" customHeight="1" x14ac:dyDescent="0.25">
      <c r="A10" s="3" t="s">
        <v>12</v>
      </c>
      <c r="B10" s="3" t="s">
        <v>13</v>
      </c>
      <c r="C10" s="3"/>
      <c r="D10" s="3"/>
      <c r="E10" s="3"/>
      <c r="F10" s="3"/>
      <c r="G10" s="3"/>
      <c r="H10" s="3"/>
    </row>
    <row r="11" spans="1:8" ht="17.100000000000001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7.100000000000001" customHeight="1" x14ac:dyDescent="0.25">
      <c r="A12" s="3" t="s">
        <v>14</v>
      </c>
      <c r="B12" s="3" t="s">
        <v>15</v>
      </c>
      <c r="C12" s="3"/>
      <c r="D12" s="3"/>
      <c r="E12" s="3"/>
      <c r="F12" s="3"/>
      <c r="G12" s="3"/>
      <c r="H12" s="3"/>
    </row>
    <row r="13" spans="1:8" ht="17.100000000000001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7.100000000000001" customHeight="1" x14ac:dyDescent="0.25">
      <c r="A14" s="8" t="s">
        <v>16</v>
      </c>
      <c r="B14" s="8"/>
      <c r="C14" s="8"/>
      <c r="D14" s="8"/>
      <c r="E14" s="8"/>
      <c r="F14" s="8"/>
      <c r="G14" s="8"/>
      <c r="H14" s="8"/>
    </row>
    <row r="15" spans="1:8" ht="17.100000000000001" customHeight="1" x14ac:dyDescent="0.25">
      <c r="A15" s="2" t="s">
        <v>17</v>
      </c>
      <c r="B15" s="2" t="s">
        <v>18</v>
      </c>
      <c r="C15" s="3"/>
      <c r="D15" s="3"/>
      <c r="E15" s="3"/>
      <c r="F15" s="3"/>
      <c r="G15" s="3"/>
      <c r="H15" s="3"/>
    </row>
    <row r="16" spans="1:8" ht="17.100000000000001" customHeight="1" x14ac:dyDescent="0.25">
      <c r="A16" s="3" t="s">
        <v>19</v>
      </c>
      <c r="B16" s="3" t="s">
        <v>20</v>
      </c>
      <c r="C16" s="3"/>
      <c r="D16" s="3"/>
      <c r="E16" s="3"/>
      <c r="F16" s="3"/>
      <c r="G16" s="3"/>
      <c r="H16" s="3"/>
    </row>
    <row r="17" spans="1:8" ht="17.100000000000001" customHeight="1" x14ac:dyDescent="0.25">
      <c r="A17" s="3" t="s">
        <v>21</v>
      </c>
      <c r="B17" s="3" t="s">
        <v>22</v>
      </c>
      <c r="C17" s="3"/>
      <c r="D17" s="3"/>
      <c r="E17" s="3"/>
      <c r="F17" s="3"/>
      <c r="G17" s="3"/>
      <c r="H17" s="3"/>
    </row>
    <row r="18" spans="1:8" ht="17.100000000000001" customHeight="1" x14ac:dyDescent="0.25">
      <c r="A18" s="3" t="s">
        <v>23</v>
      </c>
      <c r="B18" s="3" t="s">
        <v>24</v>
      </c>
      <c r="C18" s="3"/>
      <c r="D18" s="3"/>
      <c r="E18" s="3"/>
      <c r="F18" s="3"/>
      <c r="G18" s="3"/>
      <c r="H18" s="3"/>
    </row>
    <row r="19" spans="1:8" ht="17.100000000000001" customHeight="1" x14ac:dyDescent="0.25">
      <c r="A19" s="3" t="s">
        <v>25</v>
      </c>
      <c r="B19" s="3" t="s">
        <v>26</v>
      </c>
      <c r="C19" s="3"/>
      <c r="D19" s="3"/>
      <c r="E19" s="3"/>
      <c r="F19" s="3"/>
      <c r="G19" s="3"/>
      <c r="H19" s="3"/>
    </row>
    <row r="20" spans="1:8" ht="17.100000000000001" customHeight="1" x14ac:dyDescent="0.25">
      <c r="A20" s="3" t="s">
        <v>27</v>
      </c>
      <c r="B20" s="3" t="s">
        <v>28</v>
      </c>
      <c r="C20" s="3"/>
      <c r="D20" s="3"/>
      <c r="E20" s="3"/>
      <c r="F20" s="3"/>
      <c r="G20" s="3"/>
      <c r="H20" s="3"/>
    </row>
    <row r="21" spans="1:8" ht="17.100000000000001" customHeight="1" x14ac:dyDescent="0.25">
      <c r="A21" s="3" t="s">
        <v>29</v>
      </c>
      <c r="B21" s="3" t="s">
        <v>30</v>
      </c>
      <c r="C21" s="3"/>
      <c r="D21" s="3"/>
      <c r="E21" s="3"/>
      <c r="F21" s="3"/>
      <c r="G21" s="3"/>
      <c r="H21" s="3"/>
    </row>
    <row r="22" spans="1:8" ht="17.100000000000001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7.100000000000001" customHeight="1" x14ac:dyDescent="0.25">
      <c r="A23" s="7" t="s">
        <v>31</v>
      </c>
      <c r="B23" s="7"/>
      <c r="C23" s="7"/>
      <c r="D23" s="7"/>
      <c r="E23" s="7"/>
      <c r="F23" s="7"/>
      <c r="G23" s="7"/>
      <c r="H23" s="7"/>
    </row>
    <row r="24" spans="1:8" ht="17.100000000000001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7.100000000000001" customHeight="1" x14ac:dyDescent="0.25">
      <c r="A25" s="3"/>
      <c r="B25" s="3"/>
      <c r="C25" s="3"/>
      <c r="D25" s="3"/>
      <c r="E25" s="3"/>
      <c r="F25" s="3"/>
      <c r="G25" s="3"/>
      <c r="H25" s="3"/>
    </row>
  </sheetData>
  <mergeCells count="4">
    <mergeCell ref="A1:H1"/>
    <mergeCell ref="A3:H3"/>
    <mergeCell ref="A14:H14"/>
    <mergeCell ref="A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1"/>
  <sheetViews>
    <sheetView workbookViewId="0"/>
  </sheetViews>
  <sheetFormatPr defaultRowHeight="15" x14ac:dyDescent="0.25"/>
  <cols>
    <col min="1" max="1" width="8" customWidth="1"/>
    <col min="2" max="2" width="18" customWidth="1"/>
    <col min="3" max="3" width="14" customWidth="1"/>
    <col min="4" max="4" width="16" customWidth="1"/>
    <col min="5" max="5" width="12" customWidth="1"/>
    <col min="6" max="6" width="10" customWidth="1"/>
    <col min="7" max="7" width="32" customWidth="1"/>
    <col min="8" max="8" width="12" customWidth="1"/>
    <col min="9" max="16" width="10" customWidth="1"/>
  </cols>
  <sheetData>
    <row r="1" spans="1:16" ht="30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 x14ac:dyDescent="0.25">
      <c r="A2" s="3">
        <v>1</v>
      </c>
      <c r="B2" s="3" t="s">
        <v>48</v>
      </c>
      <c r="C2" s="3" t="s">
        <v>49</v>
      </c>
      <c r="D2" s="3"/>
      <c r="E2" s="3" t="s">
        <v>49</v>
      </c>
      <c r="F2" s="3" t="s">
        <v>50</v>
      </c>
      <c r="G2" s="3" t="s">
        <v>51</v>
      </c>
      <c r="H2" s="4">
        <v>12.5</v>
      </c>
      <c r="I2" s="4">
        <v>0.05</v>
      </c>
      <c r="J2" s="4"/>
      <c r="K2" s="4">
        <v>0.05</v>
      </c>
      <c r="L2" s="4">
        <v>0.23</v>
      </c>
      <c r="M2" s="4">
        <v>0.99</v>
      </c>
      <c r="N2" s="4">
        <v>12.5</v>
      </c>
      <c r="O2" s="4">
        <v>80.2</v>
      </c>
      <c r="P2" s="4">
        <v>224.73</v>
      </c>
    </row>
    <row r="3" spans="1:16" x14ac:dyDescent="0.25">
      <c r="A3" s="3">
        <v>2</v>
      </c>
      <c r="B3" s="3" t="s">
        <v>48</v>
      </c>
      <c r="C3" s="3" t="s">
        <v>49</v>
      </c>
      <c r="D3" s="3"/>
      <c r="E3" s="3" t="s">
        <v>49</v>
      </c>
      <c r="F3" s="3" t="s">
        <v>50</v>
      </c>
      <c r="G3" s="3" t="s">
        <v>52</v>
      </c>
      <c r="H3" s="4">
        <v>12</v>
      </c>
      <c r="I3" s="4">
        <v>0.04</v>
      </c>
      <c r="J3" s="4"/>
      <c r="K3" s="4">
        <v>0.04</v>
      </c>
      <c r="L3" s="4">
        <v>0.22</v>
      </c>
      <c r="M3" s="4">
        <v>0.95</v>
      </c>
      <c r="N3" s="4">
        <v>12</v>
      </c>
      <c r="O3" s="4">
        <v>76.23</v>
      </c>
      <c r="P3" s="4">
        <v>210.58</v>
      </c>
    </row>
    <row r="4" spans="1:16" x14ac:dyDescent="0.25">
      <c r="A4" s="3">
        <v>3</v>
      </c>
      <c r="B4" s="3" t="s">
        <v>48</v>
      </c>
      <c r="C4" s="3" t="s">
        <v>49</v>
      </c>
      <c r="D4" s="3"/>
      <c r="E4" s="3" t="s">
        <v>49</v>
      </c>
      <c r="F4" s="3" t="s">
        <v>50</v>
      </c>
      <c r="G4" s="3" t="s">
        <v>53</v>
      </c>
      <c r="H4" s="4">
        <v>11.5</v>
      </c>
      <c r="I4" s="4">
        <v>0.04</v>
      </c>
      <c r="J4" s="4"/>
      <c r="K4" s="4">
        <v>0.04</v>
      </c>
      <c r="L4" s="4">
        <v>0.21</v>
      </c>
      <c r="M4" s="4">
        <v>0.91</v>
      </c>
      <c r="N4" s="4">
        <v>11.5</v>
      </c>
      <c r="O4" s="4">
        <v>72.34</v>
      </c>
      <c r="P4" s="4">
        <v>196.99</v>
      </c>
    </row>
    <row r="5" spans="1:16" x14ac:dyDescent="0.25">
      <c r="A5" s="3">
        <v>4</v>
      </c>
      <c r="B5" s="3" t="s">
        <v>48</v>
      </c>
      <c r="C5" s="3" t="s">
        <v>49</v>
      </c>
      <c r="D5" s="3"/>
      <c r="E5" s="3" t="s">
        <v>49</v>
      </c>
      <c r="F5" s="3" t="s">
        <v>50</v>
      </c>
      <c r="G5" s="3" t="s">
        <v>54</v>
      </c>
      <c r="H5" s="4">
        <v>11</v>
      </c>
      <c r="I5" s="4">
        <v>0.04</v>
      </c>
      <c r="J5" s="4"/>
      <c r="K5" s="4">
        <v>0.04</v>
      </c>
      <c r="L5" s="4">
        <v>0.2</v>
      </c>
      <c r="M5" s="4">
        <v>0.87</v>
      </c>
      <c r="N5" s="4">
        <v>11</v>
      </c>
      <c r="O5" s="4">
        <v>68.510000000000005</v>
      </c>
      <c r="P5" s="4">
        <v>183.94</v>
      </c>
    </row>
    <row r="6" spans="1:16" x14ac:dyDescent="0.25">
      <c r="A6" s="3">
        <v>5</v>
      </c>
      <c r="B6" s="3" t="s">
        <v>48</v>
      </c>
      <c r="C6" s="3" t="s">
        <v>49</v>
      </c>
      <c r="D6" s="3"/>
      <c r="E6" s="3" t="s">
        <v>49</v>
      </c>
      <c r="F6" s="3" t="s">
        <v>50</v>
      </c>
      <c r="G6" s="3" t="s">
        <v>55</v>
      </c>
      <c r="H6" s="4">
        <v>10.5</v>
      </c>
      <c r="I6" s="4">
        <v>0.04</v>
      </c>
      <c r="J6" s="4"/>
      <c r="K6" s="4">
        <v>0.04</v>
      </c>
      <c r="L6" s="4">
        <v>0.19</v>
      </c>
      <c r="M6" s="4">
        <v>0.84</v>
      </c>
      <c r="N6" s="4">
        <v>10.5</v>
      </c>
      <c r="O6" s="4">
        <v>64.739999999999995</v>
      </c>
      <c r="P6" s="4">
        <v>171.41</v>
      </c>
    </row>
    <row r="7" spans="1:16" x14ac:dyDescent="0.25">
      <c r="A7" s="3">
        <v>6</v>
      </c>
      <c r="B7" s="3" t="s">
        <v>48</v>
      </c>
      <c r="C7" s="3" t="s">
        <v>49</v>
      </c>
      <c r="D7" s="3"/>
      <c r="E7" s="3" t="s">
        <v>49</v>
      </c>
      <c r="F7" s="3" t="s">
        <v>50</v>
      </c>
      <c r="G7" s="3" t="s">
        <v>56</v>
      </c>
      <c r="H7" s="4">
        <v>10.199999999999999</v>
      </c>
      <c r="I7" s="4">
        <v>0.04</v>
      </c>
      <c r="J7" s="4"/>
      <c r="K7" s="4">
        <v>0.04</v>
      </c>
      <c r="L7" s="4">
        <v>0.19</v>
      </c>
      <c r="M7" s="4">
        <v>0.81</v>
      </c>
      <c r="N7" s="4">
        <v>10.199999999999999</v>
      </c>
      <c r="O7" s="4">
        <v>62.52</v>
      </c>
      <c r="P7" s="4">
        <v>164.13</v>
      </c>
    </row>
    <row r="8" spans="1:16" x14ac:dyDescent="0.25">
      <c r="A8" s="3">
        <v>7</v>
      </c>
      <c r="B8" s="3" t="s">
        <v>48</v>
      </c>
      <c r="C8" s="3" t="s">
        <v>49</v>
      </c>
      <c r="D8" s="3"/>
      <c r="E8" s="3" t="s">
        <v>49</v>
      </c>
      <c r="F8" s="3" t="s">
        <v>50</v>
      </c>
      <c r="G8" s="3" t="s">
        <v>57</v>
      </c>
      <c r="H8" s="4">
        <v>10</v>
      </c>
      <c r="I8" s="4">
        <v>0.04</v>
      </c>
      <c r="J8" s="4"/>
      <c r="K8" s="4">
        <v>0.04</v>
      </c>
      <c r="L8" s="4">
        <v>0.18</v>
      </c>
      <c r="M8" s="4">
        <v>0.8</v>
      </c>
      <c r="N8" s="4">
        <v>10</v>
      </c>
      <c r="O8" s="4">
        <v>61.05</v>
      </c>
      <c r="P8" s="4">
        <v>159.37</v>
      </c>
    </row>
    <row r="9" spans="1:16" x14ac:dyDescent="0.25">
      <c r="A9" s="3">
        <v>8</v>
      </c>
      <c r="B9" s="3" t="s">
        <v>48</v>
      </c>
      <c r="C9" s="3" t="s">
        <v>49</v>
      </c>
      <c r="D9" s="3"/>
      <c r="E9" s="3" t="s">
        <v>49</v>
      </c>
      <c r="F9" s="3" t="s">
        <v>50</v>
      </c>
      <c r="G9" s="3" t="s">
        <v>58</v>
      </c>
      <c r="H9" s="4">
        <v>10</v>
      </c>
      <c r="I9" s="4">
        <v>0.04</v>
      </c>
      <c r="J9" s="4"/>
      <c r="K9" s="4">
        <v>0.04</v>
      </c>
      <c r="L9" s="4">
        <v>0.18</v>
      </c>
      <c r="M9" s="4">
        <v>0.8</v>
      </c>
      <c r="N9" s="4">
        <v>10</v>
      </c>
      <c r="O9" s="4">
        <v>61.05</v>
      </c>
      <c r="P9" s="4">
        <v>159.37</v>
      </c>
    </row>
    <row r="10" spans="1:16" x14ac:dyDescent="0.25">
      <c r="A10" s="3">
        <v>9</v>
      </c>
      <c r="B10" s="3" t="s">
        <v>48</v>
      </c>
      <c r="C10" s="3" t="s">
        <v>49</v>
      </c>
      <c r="D10" s="3"/>
      <c r="E10" s="3" t="s">
        <v>49</v>
      </c>
      <c r="F10" s="3" t="s">
        <v>50</v>
      </c>
      <c r="G10" s="3" t="s">
        <v>59</v>
      </c>
      <c r="H10" s="4">
        <v>9.5</v>
      </c>
      <c r="I10" s="4">
        <v>0.04</v>
      </c>
      <c r="J10" s="4"/>
      <c r="K10" s="4">
        <v>0.04</v>
      </c>
      <c r="L10" s="4">
        <v>0.17</v>
      </c>
      <c r="M10" s="4">
        <v>0.76</v>
      </c>
      <c r="N10" s="4">
        <v>9.5</v>
      </c>
      <c r="O10" s="4">
        <v>57.42</v>
      </c>
      <c r="P10" s="4">
        <v>147.82</v>
      </c>
    </row>
    <row r="11" spans="1:16" x14ac:dyDescent="0.25">
      <c r="A11" s="3">
        <v>10</v>
      </c>
      <c r="B11" s="3" t="s">
        <v>48</v>
      </c>
      <c r="C11" s="3" t="s">
        <v>49</v>
      </c>
      <c r="D11" s="3"/>
      <c r="E11" s="3" t="s">
        <v>49</v>
      </c>
      <c r="F11" s="3" t="s">
        <v>50</v>
      </c>
      <c r="G11" s="3" t="s">
        <v>60</v>
      </c>
      <c r="H11" s="4">
        <v>9.5</v>
      </c>
      <c r="I11" s="4">
        <v>0.04</v>
      </c>
      <c r="J11" s="4"/>
      <c r="K11" s="4">
        <v>0.04</v>
      </c>
      <c r="L11" s="4">
        <v>0.17</v>
      </c>
      <c r="M11" s="4">
        <v>0.76</v>
      </c>
      <c r="N11" s="4">
        <v>9.5</v>
      </c>
      <c r="O11" s="4">
        <v>57.42</v>
      </c>
      <c r="P11" s="4">
        <v>147.82</v>
      </c>
    </row>
    <row r="12" spans="1:16" x14ac:dyDescent="0.25">
      <c r="A12" s="3">
        <v>11</v>
      </c>
      <c r="B12" s="3" t="s">
        <v>48</v>
      </c>
      <c r="C12" s="3" t="s">
        <v>49</v>
      </c>
      <c r="D12" s="3"/>
      <c r="E12" s="3" t="s">
        <v>49</v>
      </c>
      <c r="F12" s="3" t="s">
        <v>50</v>
      </c>
      <c r="G12" s="3" t="s">
        <v>61</v>
      </c>
      <c r="H12" s="4">
        <v>8.5</v>
      </c>
      <c r="I12" s="4">
        <v>0.03</v>
      </c>
      <c r="J12" s="4"/>
      <c r="K12" s="4">
        <v>0.03</v>
      </c>
      <c r="L12" s="4">
        <v>0.16</v>
      </c>
      <c r="M12" s="4">
        <v>0.68</v>
      </c>
      <c r="N12" s="4">
        <v>8.5</v>
      </c>
      <c r="O12" s="4">
        <v>50.37</v>
      </c>
      <c r="P12" s="4">
        <v>126.1</v>
      </c>
    </row>
    <row r="13" spans="1:16" x14ac:dyDescent="0.25">
      <c r="A13" s="3">
        <v>12</v>
      </c>
      <c r="B13" s="3" t="s">
        <v>48</v>
      </c>
      <c r="C13" s="3" t="s">
        <v>49</v>
      </c>
      <c r="D13" s="3"/>
      <c r="E13" s="3" t="s">
        <v>49</v>
      </c>
      <c r="F13" s="3" t="s">
        <v>50</v>
      </c>
      <c r="G13" s="3" t="s">
        <v>62</v>
      </c>
      <c r="H13" s="4">
        <v>8</v>
      </c>
      <c r="I13" s="4">
        <v>0.03</v>
      </c>
      <c r="J13" s="4"/>
      <c r="K13" s="4">
        <v>0.03</v>
      </c>
      <c r="L13" s="4">
        <v>0.15</v>
      </c>
      <c r="M13" s="4">
        <v>0.64</v>
      </c>
      <c r="N13" s="4">
        <v>8</v>
      </c>
      <c r="O13" s="4">
        <v>46.93</v>
      </c>
      <c r="P13" s="4">
        <v>115.89</v>
      </c>
    </row>
    <row r="14" spans="1:16" x14ac:dyDescent="0.25">
      <c r="A14" s="3">
        <v>13</v>
      </c>
      <c r="B14" s="3" t="s">
        <v>48</v>
      </c>
      <c r="C14" s="3" t="s">
        <v>49</v>
      </c>
      <c r="D14" s="3"/>
      <c r="E14" s="3" t="s">
        <v>49</v>
      </c>
      <c r="F14" s="3" t="s">
        <v>50</v>
      </c>
      <c r="G14" s="3" t="s">
        <v>63</v>
      </c>
      <c r="H14" s="4">
        <v>8</v>
      </c>
      <c r="I14" s="4">
        <v>0.03</v>
      </c>
      <c r="J14" s="4"/>
      <c r="K14" s="4">
        <v>0.03</v>
      </c>
      <c r="L14" s="4">
        <v>0.15</v>
      </c>
      <c r="M14" s="4">
        <v>0.64</v>
      </c>
      <c r="N14" s="4">
        <v>8</v>
      </c>
      <c r="O14" s="4">
        <v>46.93</v>
      </c>
      <c r="P14" s="4">
        <v>115.89</v>
      </c>
    </row>
    <row r="15" spans="1:16" x14ac:dyDescent="0.25">
      <c r="A15" s="3">
        <v>14</v>
      </c>
      <c r="B15" s="3" t="s">
        <v>48</v>
      </c>
      <c r="C15" s="3" t="s">
        <v>49</v>
      </c>
      <c r="D15" s="3"/>
      <c r="E15" s="3" t="s">
        <v>49</v>
      </c>
      <c r="F15" s="3" t="s">
        <v>50</v>
      </c>
      <c r="G15" s="3" t="s">
        <v>64</v>
      </c>
      <c r="H15" s="4">
        <v>7.5</v>
      </c>
      <c r="I15" s="4">
        <v>0.03</v>
      </c>
      <c r="J15" s="4"/>
      <c r="K15" s="4">
        <v>0.03</v>
      </c>
      <c r="L15" s="4">
        <v>0.14000000000000001</v>
      </c>
      <c r="M15" s="4">
        <v>0.6</v>
      </c>
      <c r="N15" s="4">
        <v>7.5</v>
      </c>
      <c r="O15" s="4">
        <v>43.56</v>
      </c>
      <c r="P15" s="4">
        <v>106.1</v>
      </c>
    </row>
    <row r="16" spans="1:16" x14ac:dyDescent="0.25">
      <c r="A16" s="3">
        <v>15</v>
      </c>
      <c r="B16" s="3" t="s">
        <v>48</v>
      </c>
      <c r="C16" s="3" t="s">
        <v>49</v>
      </c>
      <c r="D16" s="3"/>
      <c r="E16" s="3" t="s">
        <v>49</v>
      </c>
      <c r="F16" s="3" t="s">
        <v>50</v>
      </c>
      <c r="G16" s="3" t="s">
        <v>65</v>
      </c>
      <c r="H16" s="4">
        <v>7</v>
      </c>
      <c r="I16" s="4">
        <v>0.03</v>
      </c>
      <c r="J16" s="4"/>
      <c r="K16" s="4">
        <v>0.03</v>
      </c>
      <c r="L16" s="4">
        <v>0.13</v>
      </c>
      <c r="M16" s="4">
        <v>0.56999999999999995</v>
      </c>
      <c r="N16" s="4">
        <v>7</v>
      </c>
      <c r="O16" s="4">
        <v>40.26</v>
      </c>
      <c r="P16" s="4">
        <v>96.72</v>
      </c>
    </row>
    <row r="17" spans="1:16" x14ac:dyDescent="0.25">
      <c r="A17" s="3">
        <v>16</v>
      </c>
      <c r="B17" s="3" t="s">
        <v>48</v>
      </c>
      <c r="C17" s="3" t="s">
        <v>49</v>
      </c>
      <c r="D17" s="3"/>
      <c r="E17" s="3" t="s">
        <v>49</v>
      </c>
      <c r="F17" s="3" t="s">
        <v>50</v>
      </c>
      <c r="G17" s="3" t="s">
        <v>66</v>
      </c>
      <c r="H17" s="4">
        <v>5.5</v>
      </c>
      <c r="I17" s="4">
        <v>0.02</v>
      </c>
      <c r="J17" s="4"/>
      <c r="K17" s="4">
        <v>0.02</v>
      </c>
      <c r="L17" s="4">
        <v>0.1</v>
      </c>
      <c r="M17" s="4">
        <v>0.45</v>
      </c>
      <c r="N17" s="4">
        <v>5.5</v>
      </c>
      <c r="O17" s="4">
        <v>30.7</v>
      </c>
      <c r="P17" s="4">
        <v>70.81</v>
      </c>
    </row>
    <row r="18" spans="1:16" x14ac:dyDescent="0.25">
      <c r="A18" s="3">
        <v>17</v>
      </c>
      <c r="B18" s="3" t="s">
        <v>48</v>
      </c>
      <c r="C18" s="3" t="s">
        <v>49</v>
      </c>
      <c r="D18" s="3"/>
      <c r="E18" s="3" t="s">
        <v>49</v>
      </c>
      <c r="F18" s="3" t="s">
        <v>50</v>
      </c>
      <c r="G18" s="3" t="s">
        <v>67</v>
      </c>
      <c r="H18" s="4">
        <v>5</v>
      </c>
      <c r="I18" s="4">
        <v>0.02</v>
      </c>
      <c r="J18" s="4"/>
      <c r="K18" s="4">
        <v>0.02</v>
      </c>
      <c r="L18" s="4">
        <v>0.09</v>
      </c>
      <c r="M18" s="4">
        <v>0.41</v>
      </c>
      <c r="N18" s="4">
        <v>5</v>
      </c>
      <c r="O18" s="4">
        <v>27.63</v>
      </c>
      <c r="P18" s="4">
        <v>62.89</v>
      </c>
    </row>
    <row r="19" spans="1:16" x14ac:dyDescent="0.25">
      <c r="A19" s="3">
        <v>18</v>
      </c>
      <c r="B19" s="3" t="s">
        <v>48</v>
      </c>
      <c r="C19" s="3" t="s">
        <v>49</v>
      </c>
      <c r="D19" s="3"/>
      <c r="E19" s="3" t="s">
        <v>49</v>
      </c>
      <c r="F19" s="3" t="s">
        <v>50</v>
      </c>
      <c r="G19" s="3" t="s">
        <v>68</v>
      </c>
      <c r="H19" s="4">
        <v>4</v>
      </c>
      <c r="I19" s="4">
        <v>0.02</v>
      </c>
      <c r="J19" s="4"/>
      <c r="K19" s="4">
        <v>0.02</v>
      </c>
      <c r="L19" s="4">
        <v>0.08</v>
      </c>
      <c r="M19" s="4">
        <v>0.33</v>
      </c>
      <c r="N19" s="4">
        <v>4</v>
      </c>
      <c r="O19" s="4">
        <v>21.67</v>
      </c>
      <c r="P19" s="4">
        <v>48.02</v>
      </c>
    </row>
    <row r="20" spans="1:16" x14ac:dyDescent="0.25">
      <c r="A20" s="3">
        <v>19</v>
      </c>
      <c r="B20" s="3" t="s">
        <v>48</v>
      </c>
      <c r="C20" s="3" t="s">
        <v>49</v>
      </c>
      <c r="D20" s="3"/>
      <c r="E20" s="3" t="s">
        <v>49</v>
      </c>
      <c r="F20" s="3" t="s">
        <v>50</v>
      </c>
      <c r="G20" s="3" t="s">
        <v>69</v>
      </c>
      <c r="H20" s="4">
        <v>2</v>
      </c>
      <c r="I20" s="4">
        <v>0.01</v>
      </c>
      <c r="J20" s="4"/>
      <c r="K20" s="4">
        <v>0.01</v>
      </c>
      <c r="L20" s="4">
        <v>0.04</v>
      </c>
      <c r="M20" s="4">
        <v>0.17</v>
      </c>
      <c r="N20" s="4">
        <v>2</v>
      </c>
      <c r="O20" s="4">
        <v>10.41</v>
      </c>
      <c r="P20" s="4">
        <v>21.9</v>
      </c>
    </row>
    <row r="21" spans="1:16" x14ac:dyDescent="0.25">
      <c r="A21" s="3">
        <v>20</v>
      </c>
      <c r="B21" s="3" t="s">
        <v>48</v>
      </c>
      <c r="C21" s="3" t="s">
        <v>49</v>
      </c>
      <c r="D21" s="3"/>
      <c r="E21" s="3" t="s">
        <v>49</v>
      </c>
      <c r="F21" s="3" t="s">
        <v>50</v>
      </c>
      <c r="G21" s="3" t="s">
        <v>70</v>
      </c>
      <c r="H21" s="4">
        <v>1</v>
      </c>
      <c r="I21" s="4">
        <v>0</v>
      </c>
      <c r="J21" s="4"/>
      <c r="K21" s="4">
        <v>0</v>
      </c>
      <c r="L21" s="4">
        <v>0.02</v>
      </c>
      <c r="M21" s="4">
        <v>0.08</v>
      </c>
      <c r="N21" s="4">
        <v>1</v>
      </c>
      <c r="O21" s="4">
        <v>5.0999999999999996</v>
      </c>
      <c r="P21" s="4">
        <v>10.46</v>
      </c>
    </row>
    <row r="22" spans="1:16" x14ac:dyDescent="0.25">
      <c r="A22" s="3">
        <v>21</v>
      </c>
      <c r="B22" s="3" t="s">
        <v>48</v>
      </c>
      <c r="C22" s="3" t="s">
        <v>49</v>
      </c>
      <c r="D22" s="3"/>
      <c r="E22" s="3" t="s">
        <v>49</v>
      </c>
      <c r="F22" s="3" t="s">
        <v>50</v>
      </c>
      <c r="G22" s="3" t="s">
        <v>71</v>
      </c>
      <c r="H22" s="4">
        <v>-2</v>
      </c>
      <c r="I22" s="4">
        <v>-0.01</v>
      </c>
      <c r="J22" s="4"/>
      <c r="K22" s="4">
        <v>-0.01</v>
      </c>
      <c r="L22" s="4">
        <v>-0.04</v>
      </c>
      <c r="M22" s="4">
        <v>-0.17</v>
      </c>
      <c r="N22" s="4">
        <v>-2</v>
      </c>
      <c r="O22" s="4">
        <v>-9.61</v>
      </c>
      <c r="P22" s="4">
        <v>-18.29</v>
      </c>
    </row>
    <row r="23" spans="1:16" x14ac:dyDescent="0.25">
      <c r="A23" s="3">
        <v>22</v>
      </c>
      <c r="B23" s="3" t="s">
        <v>48</v>
      </c>
      <c r="C23" s="3" t="s">
        <v>49</v>
      </c>
      <c r="D23" s="3"/>
      <c r="E23" s="3" t="s">
        <v>49</v>
      </c>
      <c r="F23" s="3" t="s">
        <v>50</v>
      </c>
      <c r="G23" s="3" t="s">
        <v>72</v>
      </c>
      <c r="H23" s="4">
        <v>-30</v>
      </c>
      <c r="I23" s="4">
        <v>-0.14000000000000001</v>
      </c>
      <c r="J23" s="4"/>
      <c r="K23" s="4">
        <v>-0.14000000000000001</v>
      </c>
      <c r="L23" s="4">
        <v>-0.68</v>
      </c>
      <c r="M23" s="4">
        <v>-2.93</v>
      </c>
      <c r="N23" s="4">
        <v>-30</v>
      </c>
      <c r="O23" s="4">
        <v>-83.19</v>
      </c>
      <c r="P23" s="4">
        <v>-97.18</v>
      </c>
    </row>
    <row r="24" spans="1:16" x14ac:dyDescent="0.25">
      <c r="A24" s="3">
        <v>23</v>
      </c>
      <c r="B24" s="3" t="s">
        <v>48</v>
      </c>
      <c r="C24" s="3" t="s">
        <v>49</v>
      </c>
      <c r="D24" s="3"/>
      <c r="E24" s="3" t="s">
        <v>49</v>
      </c>
      <c r="F24" s="3" t="s">
        <v>73</v>
      </c>
      <c r="G24" s="3" t="s">
        <v>74</v>
      </c>
      <c r="H24" s="4">
        <v>9.9700000000000006</v>
      </c>
      <c r="I24" s="4">
        <v>0.04</v>
      </c>
      <c r="J24" s="4"/>
      <c r="K24" s="4">
        <v>0.04</v>
      </c>
      <c r="L24" s="4">
        <v>0.18</v>
      </c>
      <c r="M24" s="4">
        <v>0.8</v>
      </c>
      <c r="N24" s="4">
        <v>9.9700000000000006</v>
      </c>
      <c r="O24" s="4">
        <v>60.83</v>
      </c>
      <c r="P24" s="4">
        <v>158.66999999999999</v>
      </c>
    </row>
    <row r="25" spans="1:16" x14ac:dyDescent="0.25">
      <c r="A25" s="3">
        <v>24</v>
      </c>
      <c r="B25" s="3" t="s">
        <v>48</v>
      </c>
      <c r="C25" s="3" t="s">
        <v>49</v>
      </c>
      <c r="D25" s="3"/>
      <c r="E25" s="3" t="s">
        <v>49</v>
      </c>
      <c r="F25" s="3" t="s">
        <v>73</v>
      </c>
      <c r="G25" s="3" t="s">
        <v>75</v>
      </c>
      <c r="H25" s="4">
        <v>9.65</v>
      </c>
      <c r="I25" s="4">
        <v>0.04</v>
      </c>
      <c r="J25" s="4"/>
      <c r="K25" s="4">
        <v>0.04</v>
      </c>
      <c r="L25" s="4">
        <v>0.18</v>
      </c>
      <c r="M25" s="4">
        <v>0.77</v>
      </c>
      <c r="N25" s="4">
        <v>9.65</v>
      </c>
      <c r="O25" s="4">
        <v>58.51</v>
      </c>
      <c r="P25" s="4">
        <v>151.24</v>
      </c>
    </row>
    <row r="26" spans="1:16" x14ac:dyDescent="0.25">
      <c r="A26" s="3">
        <v>25</v>
      </c>
      <c r="B26" s="3" t="s">
        <v>48</v>
      </c>
      <c r="C26" s="3" t="s">
        <v>49</v>
      </c>
      <c r="D26" s="3"/>
      <c r="E26" s="3" t="s">
        <v>49</v>
      </c>
      <c r="F26" s="3" t="s">
        <v>73</v>
      </c>
      <c r="G26" s="3" t="s">
        <v>76</v>
      </c>
      <c r="H26" s="4">
        <v>9.4</v>
      </c>
      <c r="I26" s="4">
        <v>0.04</v>
      </c>
      <c r="J26" s="4"/>
      <c r="K26" s="4">
        <v>0.04</v>
      </c>
      <c r="L26" s="4">
        <v>0.17</v>
      </c>
      <c r="M26" s="4">
        <v>0.75</v>
      </c>
      <c r="N26" s="4">
        <v>9.4</v>
      </c>
      <c r="O26" s="4">
        <v>56.71</v>
      </c>
      <c r="P26" s="4">
        <v>145.57</v>
      </c>
    </row>
    <row r="27" spans="1:16" x14ac:dyDescent="0.25">
      <c r="A27" s="3">
        <v>26</v>
      </c>
      <c r="B27" s="3" t="s">
        <v>48</v>
      </c>
      <c r="C27" s="3" t="s">
        <v>49</v>
      </c>
      <c r="D27" s="3"/>
      <c r="E27" s="3" t="s">
        <v>49</v>
      </c>
      <c r="F27" s="3" t="s">
        <v>73</v>
      </c>
      <c r="G27" s="3" t="s">
        <v>77</v>
      </c>
      <c r="H27" s="4">
        <v>9</v>
      </c>
      <c r="I27" s="4">
        <v>0.03</v>
      </c>
      <c r="J27" s="4"/>
      <c r="K27" s="4">
        <v>0.03</v>
      </c>
      <c r="L27" s="4">
        <v>0.17</v>
      </c>
      <c r="M27" s="4">
        <v>0.72</v>
      </c>
      <c r="N27" s="4">
        <v>9</v>
      </c>
      <c r="O27" s="4">
        <v>53.86</v>
      </c>
      <c r="P27" s="4">
        <v>136.74</v>
      </c>
    </row>
    <row r="28" spans="1:16" x14ac:dyDescent="0.25">
      <c r="A28" s="3">
        <v>27</v>
      </c>
      <c r="B28" s="3" t="s">
        <v>48</v>
      </c>
      <c r="C28" s="3" t="s">
        <v>49</v>
      </c>
      <c r="D28" s="3"/>
      <c r="E28" s="3" t="s">
        <v>49</v>
      </c>
      <c r="F28" s="3" t="s">
        <v>73</v>
      </c>
      <c r="G28" s="3" t="s">
        <v>78</v>
      </c>
      <c r="H28" s="4">
        <v>8.5</v>
      </c>
      <c r="I28" s="4">
        <v>0.03</v>
      </c>
      <c r="J28" s="4"/>
      <c r="K28" s="4">
        <v>0.03</v>
      </c>
      <c r="L28" s="4">
        <v>0.16</v>
      </c>
      <c r="M28" s="4">
        <v>0.68</v>
      </c>
      <c r="N28" s="4">
        <v>8.5</v>
      </c>
      <c r="O28" s="4">
        <v>50.37</v>
      </c>
      <c r="P28" s="4">
        <v>126.1</v>
      </c>
    </row>
    <row r="29" spans="1:16" x14ac:dyDescent="0.25">
      <c r="A29" s="3">
        <v>28</v>
      </c>
      <c r="B29" s="3" t="s">
        <v>48</v>
      </c>
      <c r="C29" s="3" t="s">
        <v>49</v>
      </c>
      <c r="D29" s="3"/>
      <c r="E29" s="3" t="s">
        <v>49</v>
      </c>
      <c r="F29" s="3" t="s">
        <v>73</v>
      </c>
      <c r="G29" s="3" t="s">
        <v>79</v>
      </c>
      <c r="H29" s="4">
        <v>6.4</v>
      </c>
      <c r="I29" s="4">
        <v>0.02</v>
      </c>
      <c r="J29" s="4"/>
      <c r="K29" s="4">
        <v>0.02</v>
      </c>
      <c r="L29" s="4">
        <v>0.12</v>
      </c>
      <c r="M29" s="4">
        <v>0.52</v>
      </c>
      <c r="N29" s="4">
        <v>6.4</v>
      </c>
      <c r="O29" s="4">
        <v>36.369999999999997</v>
      </c>
      <c r="P29" s="4">
        <v>85.96</v>
      </c>
    </row>
    <row r="30" spans="1:16" ht="30" x14ac:dyDescent="0.25">
      <c r="A30" s="3">
        <v>29</v>
      </c>
      <c r="B30" s="3" t="s">
        <v>48</v>
      </c>
      <c r="C30" s="3" t="s">
        <v>49</v>
      </c>
      <c r="D30" s="3"/>
      <c r="E30" s="3" t="s">
        <v>49</v>
      </c>
      <c r="F30" s="3" t="s">
        <v>73</v>
      </c>
      <c r="G30" s="3" t="s">
        <v>80</v>
      </c>
      <c r="H30" s="4">
        <v>4</v>
      </c>
      <c r="I30" s="4">
        <v>0.02</v>
      </c>
      <c r="J30" s="4"/>
      <c r="K30" s="4">
        <v>0.02</v>
      </c>
      <c r="L30" s="4">
        <v>0.08</v>
      </c>
      <c r="M30" s="4">
        <v>0.33</v>
      </c>
      <c r="N30" s="4">
        <v>4</v>
      </c>
      <c r="O30" s="4">
        <v>21.67</v>
      </c>
      <c r="P30" s="4">
        <v>48.02</v>
      </c>
    </row>
    <row r="31" spans="1:16" x14ac:dyDescent="0.25">
      <c r="A31" s="3">
        <v>30</v>
      </c>
      <c r="B31" s="3" t="s">
        <v>48</v>
      </c>
      <c r="C31" s="3" t="s">
        <v>49</v>
      </c>
      <c r="D31" s="3"/>
      <c r="E31" s="3" t="s">
        <v>49</v>
      </c>
      <c r="F31" s="3" t="s">
        <v>81</v>
      </c>
      <c r="G31" s="3" t="s">
        <v>82</v>
      </c>
      <c r="H31" s="4">
        <v>8</v>
      </c>
      <c r="I31" s="4">
        <v>0.03</v>
      </c>
      <c r="J31" s="4"/>
      <c r="K31" s="4">
        <v>0.03</v>
      </c>
      <c r="L31" s="4">
        <v>0.15</v>
      </c>
      <c r="M31" s="4">
        <v>0.64</v>
      </c>
      <c r="N31" s="4">
        <v>8</v>
      </c>
      <c r="O31" s="4">
        <v>46.93</v>
      </c>
      <c r="P31" s="4">
        <v>115.89</v>
      </c>
    </row>
    <row r="32" spans="1:16" x14ac:dyDescent="0.25">
      <c r="A32" s="3">
        <v>31</v>
      </c>
      <c r="B32" s="3" t="s">
        <v>48</v>
      </c>
      <c r="C32" s="3" t="s">
        <v>49</v>
      </c>
      <c r="D32" s="3"/>
      <c r="E32" s="3" t="s">
        <v>49</v>
      </c>
      <c r="F32" s="3" t="s">
        <v>81</v>
      </c>
      <c r="G32" s="3" t="s">
        <v>83</v>
      </c>
      <c r="H32" s="4">
        <v>6.3</v>
      </c>
      <c r="I32" s="4">
        <v>0.02</v>
      </c>
      <c r="J32" s="4"/>
      <c r="K32" s="4">
        <v>0.02</v>
      </c>
      <c r="L32" s="4">
        <v>0.12</v>
      </c>
      <c r="M32" s="4">
        <v>0.51</v>
      </c>
      <c r="N32" s="4">
        <v>6.3</v>
      </c>
      <c r="O32" s="4">
        <v>35.729999999999997</v>
      </c>
      <c r="P32" s="4">
        <v>84.22</v>
      </c>
    </row>
    <row r="33" spans="1:16" x14ac:dyDescent="0.25">
      <c r="A33" s="3">
        <v>32</v>
      </c>
      <c r="B33" s="3" t="s">
        <v>48</v>
      </c>
      <c r="C33" s="3" t="s">
        <v>49</v>
      </c>
      <c r="D33" s="3"/>
      <c r="E33" s="3" t="s">
        <v>49</v>
      </c>
      <c r="F33" s="3" t="s">
        <v>81</v>
      </c>
      <c r="G33" s="3" t="s">
        <v>84</v>
      </c>
      <c r="H33" s="4">
        <v>7.2</v>
      </c>
      <c r="I33" s="4">
        <v>0.03</v>
      </c>
      <c r="J33" s="4"/>
      <c r="K33" s="4">
        <v>0.03</v>
      </c>
      <c r="L33" s="4">
        <v>0.13</v>
      </c>
      <c r="M33" s="4">
        <v>0.57999999999999996</v>
      </c>
      <c r="N33" s="4">
        <v>7.2</v>
      </c>
      <c r="O33" s="4">
        <v>41.57</v>
      </c>
      <c r="P33" s="4">
        <v>100.42</v>
      </c>
    </row>
    <row r="34" spans="1:16" ht="30" x14ac:dyDescent="0.25">
      <c r="A34" s="3">
        <v>33</v>
      </c>
      <c r="B34" s="3" t="s">
        <v>48</v>
      </c>
      <c r="C34" s="3" t="s">
        <v>49</v>
      </c>
      <c r="D34" s="3"/>
      <c r="E34" s="3" t="s">
        <v>49</v>
      </c>
      <c r="F34" s="3" t="s">
        <v>81</v>
      </c>
      <c r="G34" s="3" t="s">
        <v>85</v>
      </c>
      <c r="H34" s="4">
        <v>6.8</v>
      </c>
      <c r="I34" s="4">
        <v>0.03</v>
      </c>
      <c r="J34" s="4"/>
      <c r="K34" s="4">
        <v>0.03</v>
      </c>
      <c r="L34" s="4">
        <v>0.13</v>
      </c>
      <c r="M34" s="4">
        <v>0.55000000000000004</v>
      </c>
      <c r="N34" s="4">
        <v>6.8</v>
      </c>
      <c r="O34" s="4">
        <v>38.950000000000003</v>
      </c>
      <c r="P34" s="4">
        <v>93.07</v>
      </c>
    </row>
    <row r="35" spans="1:16" x14ac:dyDescent="0.25">
      <c r="A35" s="3">
        <v>1</v>
      </c>
      <c r="B35" s="3" t="s">
        <v>86</v>
      </c>
      <c r="C35" s="3" t="s">
        <v>49</v>
      </c>
      <c r="D35" s="3"/>
      <c r="E35" s="3" t="s">
        <v>49</v>
      </c>
      <c r="F35" s="3" t="s">
        <v>50</v>
      </c>
      <c r="G35" s="3" t="s">
        <v>87</v>
      </c>
      <c r="H35" s="4">
        <v>5.5</v>
      </c>
      <c r="I35" s="4">
        <v>0.02</v>
      </c>
      <c r="J35" s="4"/>
      <c r="K35" s="4">
        <v>0.02</v>
      </c>
      <c r="L35" s="4">
        <v>0.1</v>
      </c>
      <c r="M35" s="4">
        <v>0.45</v>
      </c>
      <c r="N35" s="4">
        <v>5.5</v>
      </c>
      <c r="O35" s="4">
        <v>30.7</v>
      </c>
      <c r="P35" s="4">
        <v>70.81</v>
      </c>
    </row>
    <row r="36" spans="1:16" x14ac:dyDescent="0.25">
      <c r="A36" s="3">
        <v>2</v>
      </c>
      <c r="B36" s="3" t="s">
        <v>86</v>
      </c>
      <c r="C36" s="3" t="s">
        <v>49</v>
      </c>
      <c r="D36" s="3"/>
      <c r="E36" s="3" t="s">
        <v>49</v>
      </c>
      <c r="F36" s="3" t="s">
        <v>50</v>
      </c>
      <c r="G36" s="3" t="s">
        <v>88</v>
      </c>
      <c r="H36" s="4">
        <v>5</v>
      </c>
      <c r="I36" s="4">
        <v>0.02</v>
      </c>
      <c r="J36" s="4"/>
      <c r="K36" s="4">
        <v>0.02</v>
      </c>
      <c r="L36" s="4">
        <v>0.09</v>
      </c>
      <c r="M36" s="4">
        <v>0.41</v>
      </c>
      <c r="N36" s="4">
        <v>5</v>
      </c>
      <c r="O36" s="4">
        <v>27.63</v>
      </c>
      <c r="P36" s="4">
        <v>62.89</v>
      </c>
    </row>
    <row r="37" spans="1:16" x14ac:dyDescent="0.25">
      <c r="A37" s="3">
        <v>3</v>
      </c>
      <c r="B37" s="3" t="s">
        <v>86</v>
      </c>
      <c r="C37" s="3" t="s">
        <v>49</v>
      </c>
      <c r="D37" s="3"/>
      <c r="E37" s="3" t="s">
        <v>49</v>
      </c>
      <c r="F37" s="3" t="s">
        <v>50</v>
      </c>
      <c r="G37" s="3" t="s">
        <v>89</v>
      </c>
      <c r="H37" s="4">
        <v>4.5</v>
      </c>
      <c r="I37" s="4">
        <v>0.02</v>
      </c>
      <c r="J37" s="4"/>
      <c r="K37" s="4">
        <v>0.02</v>
      </c>
      <c r="L37" s="4">
        <v>0.08</v>
      </c>
      <c r="M37" s="4">
        <v>0.37</v>
      </c>
      <c r="N37" s="4">
        <v>4.5</v>
      </c>
      <c r="O37" s="4">
        <v>24.62</v>
      </c>
      <c r="P37" s="4">
        <v>55.3</v>
      </c>
    </row>
    <row r="38" spans="1:16" x14ac:dyDescent="0.25">
      <c r="A38" s="3">
        <v>4</v>
      </c>
      <c r="B38" s="3" t="s">
        <v>86</v>
      </c>
      <c r="C38" s="3" t="s">
        <v>49</v>
      </c>
      <c r="D38" s="3"/>
      <c r="E38" s="3" t="s">
        <v>49</v>
      </c>
      <c r="F38" s="3" t="s">
        <v>50</v>
      </c>
      <c r="G38" s="3" t="s">
        <v>90</v>
      </c>
      <c r="H38" s="4">
        <v>4.3</v>
      </c>
      <c r="I38" s="4">
        <v>0.02</v>
      </c>
      <c r="J38" s="4"/>
      <c r="K38" s="4">
        <v>0.02</v>
      </c>
      <c r="L38" s="4">
        <v>0.08</v>
      </c>
      <c r="M38" s="4">
        <v>0.35</v>
      </c>
      <c r="N38" s="4">
        <v>4.3</v>
      </c>
      <c r="O38" s="4">
        <v>23.43</v>
      </c>
      <c r="P38" s="4">
        <v>52.35</v>
      </c>
    </row>
    <row r="39" spans="1:16" x14ac:dyDescent="0.25">
      <c r="A39" s="3">
        <v>5</v>
      </c>
      <c r="B39" s="3" t="s">
        <v>86</v>
      </c>
      <c r="C39" s="3" t="s">
        <v>49</v>
      </c>
      <c r="D39" s="3"/>
      <c r="E39" s="3" t="s">
        <v>49</v>
      </c>
      <c r="F39" s="3" t="s">
        <v>50</v>
      </c>
      <c r="G39" s="3" t="s">
        <v>91</v>
      </c>
      <c r="H39" s="4">
        <v>4</v>
      </c>
      <c r="I39" s="4">
        <v>0.02</v>
      </c>
      <c r="J39" s="4"/>
      <c r="K39" s="4">
        <v>0.02</v>
      </c>
      <c r="L39" s="4">
        <v>0.08</v>
      </c>
      <c r="M39" s="4">
        <v>0.33</v>
      </c>
      <c r="N39" s="4">
        <v>4</v>
      </c>
      <c r="O39" s="4">
        <v>21.67</v>
      </c>
      <c r="P39" s="4">
        <v>48.02</v>
      </c>
    </row>
    <row r="40" spans="1:16" x14ac:dyDescent="0.25">
      <c r="A40" s="3">
        <v>6</v>
      </c>
      <c r="B40" s="3" t="s">
        <v>86</v>
      </c>
      <c r="C40" s="3" t="s">
        <v>49</v>
      </c>
      <c r="D40" s="3"/>
      <c r="E40" s="3" t="s">
        <v>49</v>
      </c>
      <c r="F40" s="3" t="s">
        <v>50</v>
      </c>
      <c r="G40" s="3" t="s">
        <v>92</v>
      </c>
      <c r="H40" s="4">
        <v>3.8</v>
      </c>
      <c r="I40" s="4">
        <v>0.01</v>
      </c>
      <c r="J40" s="4"/>
      <c r="K40" s="4">
        <v>0.01</v>
      </c>
      <c r="L40" s="4">
        <v>7.0000000000000007E-2</v>
      </c>
      <c r="M40" s="4">
        <v>0.31</v>
      </c>
      <c r="N40" s="4">
        <v>3.8</v>
      </c>
      <c r="O40" s="4">
        <v>20.5</v>
      </c>
      <c r="P40" s="4">
        <v>45.2</v>
      </c>
    </row>
    <row r="41" spans="1:16" x14ac:dyDescent="0.25">
      <c r="A41" s="3">
        <v>7</v>
      </c>
      <c r="B41" s="3" t="s">
        <v>86</v>
      </c>
      <c r="C41" s="3" t="s">
        <v>49</v>
      </c>
      <c r="D41" s="3"/>
      <c r="E41" s="3" t="s">
        <v>49</v>
      </c>
      <c r="F41" s="3" t="s">
        <v>50</v>
      </c>
      <c r="G41" s="3" t="s">
        <v>93</v>
      </c>
      <c r="H41" s="4">
        <v>3.5</v>
      </c>
      <c r="I41" s="4">
        <v>0.01</v>
      </c>
      <c r="J41" s="4"/>
      <c r="K41" s="4">
        <v>0.01</v>
      </c>
      <c r="L41" s="4">
        <v>7.0000000000000007E-2</v>
      </c>
      <c r="M41" s="4">
        <v>0.28999999999999998</v>
      </c>
      <c r="N41" s="4">
        <v>3.5</v>
      </c>
      <c r="O41" s="4">
        <v>18.77</v>
      </c>
      <c r="P41" s="4">
        <v>41.06</v>
      </c>
    </row>
    <row r="42" spans="1:16" x14ac:dyDescent="0.25">
      <c r="A42" s="3">
        <v>8</v>
      </c>
      <c r="B42" s="3" t="s">
        <v>86</v>
      </c>
      <c r="C42" s="3" t="s">
        <v>49</v>
      </c>
      <c r="D42" s="3"/>
      <c r="E42" s="3" t="s">
        <v>49</v>
      </c>
      <c r="F42" s="3" t="s">
        <v>50</v>
      </c>
      <c r="G42" s="3" t="s">
        <v>94</v>
      </c>
      <c r="H42" s="4">
        <v>3.5</v>
      </c>
      <c r="I42" s="4">
        <v>0.01</v>
      </c>
      <c r="J42" s="4"/>
      <c r="K42" s="4">
        <v>0.01</v>
      </c>
      <c r="L42" s="4">
        <v>7.0000000000000007E-2</v>
      </c>
      <c r="M42" s="4">
        <v>0.28999999999999998</v>
      </c>
      <c r="N42" s="4">
        <v>3.5</v>
      </c>
      <c r="O42" s="4">
        <v>18.77</v>
      </c>
      <c r="P42" s="4">
        <v>41.06</v>
      </c>
    </row>
    <row r="43" spans="1:16" x14ac:dyDescent="0.25">
      <c r="A43" s="3">
        <v>9</v>
      </c>
      <c r="B43" s="3" t="s">
        <v>86</v>
      </c>
      <c r="C43" s="3" t="s">
        <v>49</v>
      </c>
      <c r="D43" s="3"/>
      <c r="E43" s="3" t="s">
        <v>49</v>
      </c>
      <c r="F43" s="3" t="s">
        <v>50</v>
      </c>
      <c r="G43" s="3" t="s">
        <v>95</v>
      </c>
      <c r="H43" s="4">
        <v>3</v>
      </c>
      <c r="I43" s="4">
        <v>0.01</v>
      </c>
      <c r="J43" s="4"/>
      <c r="K43" s="4">
        <v>0.01</v>
      </c>
      <c r="L43" s="4">
        <v>0.06</v>
      </c>
      <c r="M43" s="4">
        <v>0.25</v>
      </c>
      <c r="N43" s="4">
        <v>3</v>
      </c>
      <c r="O43" s="4">
        <v>15.93</v>
      </c>
      <c r="P43" s="4">
        <v>34.39</v>
      </c>
    </row>
    <row r="44" spans="1:16" x14ac:dyDescent="0.25">
      <c r="A44" s="3">
        <v>10</v>
      </c>
      <c r="B44" s="3" t="s">
        <v>86</v>
      </c>
      <c r="C44" s="3" t="s">
        <v>49</v>
      </c>
      <c r="D44" s="3"/>
      <c r="E44" s="3" t="s">
        <v>49</v>
      </c>
      <c r="F44" s="3" t="s">
        <v>50</v>
      </c>
      <c r="G44" s="3" t="s">
        <v>96</v>
      </c>
      <c r="H44" s="4">
        <v>2.5</v>
      </c>
      <c r="I44" s="4">
        <v>0.01</v>
      </c>
      <c r="J44" s="4"/>
      <c r="K44" s="4">
        <v>0.01</v>
      </c>
      <c r="L44" s="4">
        <v>0.05</v>
      </c>
      <c r="M44" s="4">
        <v>0.21</v>
      </c>
      <c r="N44" s="4">
        <v>2.5</v>
      </c>
      <c r="O44" s="4">
        <v>13.14</v>
      </c>
      <c r="P44" s="4">
        <v>28.01</v>
      </c>
    </row>
    <row r="45" spans="1:16" x14ac:dyDescent="0.25">
      <c r="A45" s="3">
        <v>11</v>
      </c>
      <c r="B45" s="3" t="s">
        <v>86</v>
      </c>
      <c r="C45" s="3" t="s">
        <v>49</v>
      </c>
      <c r="D45" s="3"/>
      <c r="E45" s="3" t="s">
        <v>49</v>
      </c>
      <c r="F45" s="3" t="s">
        <v>50</v>
      </c>
      <c r="G45" s="3" t="s">
        <v>97</v>
      </c>
      <c r="H45" s="4">
        <v>2.5</v>
      </c>
      <c r="I45" s="4">
        <v>0.01</v>
      </c>
      <c r="J45" s="4"/>
      <c r="K45" s="4">
        <v>0.01</v>
      </c>
      <c r="L45" s="4">
        <v>0.05</v>
      </c>
      <c r="M45" s="4">
        <v>0.21</v>
      </c>
      <c r="N45" s="4">
        <v>2.5</v>
      </c>
      <c r="O45" s="4">
        <v>13.14</v>
      </c>
      <c r="P45" s="4">
        <v>28.01</v>
      </c>
    </row>
    <row r="46" spans="1:16" x14ac:dyDescent="0.25">
      <c r="A46" s="3">
        <v>12</v>
      </c>
      <c r="B46" s="3" t="s">
        <v>86</v>
      </c>
      <c r="C46" s="3" t="s">
        <v>49</v>
      </c>
      <c r="D46" s="3"/>
      <c r="E46" s="3" t="s">
        <v>49</v>
      </c>
      <c r="F46" s="3" t="s">
        <v>50</v>
      </c>
      <c r="G46" s="3" t="s">
        <v>98</v>
      </c>
      <c r="H46" s="4">
        <v>1.5</v>
      </c>
      <c r="I46" s="4">
        <v>0.01</v>
      </c>
      <c r="J46" s="4"/>
      <c r="K46" s="4">
        <v>0.01</v>
      </c>
      <c r="L46" s="4">
        <v>0.03</v>
      </c>
      <c r="M46" s="4">
        <v>0.12</v>
      </c>
      <c r="N46" s="4">
        <v>1.5</v>
      </c>
      <c r="O46" s="4">
        <v>7.73</v>
      </c>
      <c r="P46" s="4">
        <v>16.05</v>
      </c>
    </row>
    <row r="47" spans="1:16" x14ac:dyDescent="0.25">
      <c r="A47" s="3">
        <v>13</v>
      </c>
      <c r="B47" s="3" t="s">
        <v>86</v>
      </c>
      <c r="C47" s="3" t="s">
        <v>49</v>
      </c>
      <c r="D47" s="3"/>
      <c r="E47" s="3" t="s">
        <v>49</v>
      </c>
      <c r="F47" s="3" t="s">
        <v>73</v>
      </c>
      <c r="G47" s="3" t="s">
        <v>99</v>
      </c>
      <c r="H47" s="4">
        <v>2.5</v>
      </c>
      <c r="I47" s="4">
        <v>0.01</v>
      </c>
      <c r="J47" s="4"/>
      <c r="K47" s="4">
        <v>0.01</v>
      </c>
      <c r="L47" s="4">
        <v>0.05</v>
      </c>
      <c r="M47" s="4">
        <v>0.21</v>
      </c>
      <c r="N47" s="4">
        <v>2.5</v>
      </c>
      <c r="O47" s="4">
        <v>13.14</v>
      </c>
      <c r="P47" s="4">
        <v>28.01</v>
      </c>
    </row>
    <row r="48" spans="1:16" x14ac:dyDescent="0.25">
      <c r="A48" s="3">
        <v>14</v>
      </c>
      <c r="B48" s="3" t="s">
        <v>86</v>
      </c>
      <c r="C48" s="3" t="s">
        <v>49</v>
      </c>
      <c r="D48" s="3"/>
      <c r="E48" s="3" t="s">
        <v>49</v>
      </c>
      <c r="F48" s="3" t="s">
        <v>81</v>
      </c>
      <c r="G48" s="3" t="s">
        <v>100</v>
      </c>
      <c r="H48" s="4">
        <v>2.21</v>
      </c>
      <c r="I48" s="4">
        <v>0.01</v>
      </c>
      <c r="J48" s="4"/>
      <c r="K48" s="4">
        <v>0.01</v>
      </c>
      <c r="L48" s="4">
        <v>0.04</v>
      </c>
      <c r="M48" s="4">
        <v>0.18</v>
      </c>
      <c r="N48" s="4">
        <v>2.21</v>
      </c>
      <c r="O48" s="4">
        <v>11.55</v>
      </c>
      <c r="P48" s="4">
        <v>24.43</v>
      </c>
    </row>
    <row r="49" spans="1:16" x14ac:dyDescent="0.25">
      <c r="A49" s="3">
        <v>15</v>
      </c>
      <c r="B49" s="3" t="s">
        <v>86</v>
      </c>
      <c r="C49" s="3" t="s">
        <v>49</v>
      </c>
      <c r="D49" s="3"/>
      <c r="E49" s="3" t="s">
        <v>49</v>
      </c>
      <c r="F49" s="3" t="s">
        <v>81</v>
      </c>
      <c r="G49" s="3" t="s">
        <v>101</v>
      </c>
      <c r="H49" s="4">
        <v>3.5</v>
      </c>
      <c r="I49" s="4">
        <v>0.01</v>
      </c>
      <c r="J49" s="4"/>
      <c r="K49" s="4">
        <v>0.01</v>
      </c>
      <c r="L49" s="4">
        <v>7.0000000000000007E-2</v>
      </c>
      <c r="M49" s="4">
        <v>0.28999999999999998</v>
      </c>
      <c r="N49" s="4">
        <v>3.5</v>
      </c>
      <c r="O49" s="4">
        <v>18.77</v>
      </c>
      <c r="P49" s="4">
        <v>41.06</v>
      </c>
    </row>
    <row r="50" spans="1:16" ht="30" x14ac:dyDescent="0.25">
      <c r="A50" s="3">
        <v>16</v>
      </c>
      <c r="B50" s="3" t="s">
        <v>86</v>
      </c>
      <c r="C50" s="3" t="s">
        <v>49</v>
      </c>
      <c r="D50" s="3"/>
      <c r="E50" s="3" t="s">
        <v>49</v>
      </c>
      <c r="F50" s="3" t="s">
        <v>81</v>
      </c>
      <c r="G50" s="3" t="s">
        <v>102</v>
      </c>
      <c r="H50" s="4">
        <v>2.89</v>
      </c>
      <c r="I50" s="4">
        <v>0.01</v>
      </c>
      <c r="J50" s="4"/>
      <c r="K50" s="4">
        <v>0.01</v>
      </c>
      <c r="L50" s="4">
        <v>0.05</v>
      </c>
      <c r="M50" s="4">
        <v>0.24</v>
      </c>
      <c r="N50" s="4">
        <v>2.89</v>
      </c>
      <c r="O50" s="4">
        <v>15.31</v>
      </c>
      <c r="P50" s="4">
        <v>32.96</v>
      </c>
    </row>
    <row r="51" spans="1:16" x14ac:dyDescent="0.25">
      <c r="A51" s="3">
        <v>1</v>
      </c>
      <c r="B51" s="3" t="s">
        <v>103</v>
      </c>
      <c r="C51" s="3" t="s">
        <v>49</v>
      </c>
      <c r="D51" s="3"/>
      <c r="E51" s="3" t="s">
        <v>49</v>
      </c>
      <c r="F51" s="3" t="s">
        <v>50</v>
      </c>
      <c r="G51" s="3" t="s">
        <v>104</v>
      </c>
      <c r="H51" s="4">
        <v>10</v>
      </c>
      <c r="I51" s="4">
        <v>0.04</v>
      </c>
      <c r="J51" s="4"/>
      <c r="K51" s="4">
        <v>0.04</v>
      </c>
      <c r="L51" s="4">
        <v>0.18</v>
      </c>
      <c r="M51" s="4">
        <v>0.8</v>
      </c>
      <c r="N51" s="4">
        <v>10</v>
      </c>
      <c r="O51" s="4">
        <v>61.05</v>
      </c>
      <c r="P51" s="4">
        <v>159.37</v>
      </c>
    </row>
    <row r="52" spans="1:16" x14ac:dyDescent="0.25">
      <c r="A52" s="3">
        <v>2</v>
      </c>
      <c r="B52" s="3" t="s">
        <v>103</v>
      </c>
      <c r="C52" s="3" t="s">
        <v>49</v>
      </c>
      <c r="D52" s="3"/>
      <c r="E52" s="3" t="s">
        <v>49</v>
      </c>
      <c r="F52" s="3" t="s">
        <v>50</v>
      </c>
      <c r="G52" s="3" t="s">
        <v>105</v>
      </c>
      <c r="H52" s="4">
        <v>9</v>
      </c>
      <c r="I52" s="4">
        <v>0.03</v>
      </c>
      <c r="J52" s="4"/>
      <c r="K52" s="4">
        <v>0.03</v>
      </c>
      <c r="L52" s="4">
        <v>0.17</v>
      </c>
      <c r="M52" s="4">
        <v>0.72</v>
      </c>
      <c r="N52" s="4">
        <v>9</v>
      </c>
      <c r="O52" s="4">
        <v>53.86</v>
      </c>
      <c r="P52" s="4">
        <v>136.74</v>
      </c>
    </row>
    <row r="53" spans="1:16" x14ac:dyDescent="0.25">
      <c r="A53" s="3">
        <v>3</v>
      </c>
      <c r="B53" s="3" t="s">
        <v>103</v>
      </c>
      <c r="C53" s="3" t="s">
        <v>49</v>
      </c>
      <c r="D53" s="3"/>
      <c r="E53" s="3" t="s">
        <v>49</v>
      </c>
      <c r="F53" s="3" t="s">
        <v>50</v>
      </c>
      <c r="G53" s="3" t="s">
        <v>106</v>
      </c>
      <c r="H53" s="4">
        <v>8.5</v>
      </c>
      <c r="I53" s="4">
        <v>0.03</v>
      </c>
      <c r="J53" s="4"/>
      <c r="K53" s="4">
        <v>0.03</v>
      </c>
      <c r="L53" s="4">
        <v>0.16</v>
      </c>
      <c r="M53" s="4">
        <v>0.68</v>
      </c>
      <c r="N53" s="4">
        <v>8.5</v>
      </c>
      <c r="O53" s="4">
        <v>50.37</v>
      </c>
      <c r="P53" s="4">
        <v>126.1</v>
      </c>
    </row>
    <row r="54" spans="1:16" x14ac:dyDescent="0.25">
      <c r="A54" s="3">
        <v>4</v>
      </c>
      <c r="B54" s="3" t="s">
        <v>103</v>
      </c>
      <c r="C54" s="3" t="s">
        <v>49</v>
      </c>
      <c r="D54" s="3"/>
      <c r="E54" s="3" t="s">
        <v>49</v>
      </c>
      <c r="F54" s="3" t="s">
        <v>50</v>
      </c>
      <c r="G54" s="3" t="s">
        <v>107</v>
      </c>
      <c r="H54" s="4">
        <v>7.5</v>
      </c>
      <c r="I54" s="4">
        <v>0.03</v>
      </c>
      <c r="J54" s="4"/>
      <c r="K54" s="4">
        <v>0.03</v>
      </c>
      <c r="L54" s="4">
        <v>0.14000000000000001</v>
      </c>
      <c r="M54" s="4">
        <v>0.6</v>
      </c>
      <c r="N54" s="4">
        <v>7.5</v>
      </c>
      <c r="O54" s="4">
        <v>43.56</v>
      </c>
      <c r="P54" s="4">
        <v>106.1</v>
      </c>
    </row>
    <row r="55" spans="1:16" x14ac:dyDescent="0.25">
      <c r="A55" s="3">
        <v>5</v>
      </c>
      <c r="B55" s="3" t="s">
        <v>103</v>
      </c>
      <c r="C55" s="3" t="s">
        <v>49</v>
      </c>
      <c r="D55" s="3"/>
      <c r="E55" s="3" t="s">
        <v>49</v>
      </c>
      <c r="F55" s="3" t="s">
        <v>50</v>
      </c>
      <c r="G55" s="3" t="s">
        <v>108</v>
      </c>
      <c r="H55" s="4">
        <v>6.5</v>
      </c>
      <c r="I55" s="4">
        <v>0.02</v>
      </c>
      <c r="J55" s="4"/>
      <c r="K55" s="4">
        <v>0.02</v>
      </c>
      <c r="L55" s="4">
        <v>0.12</v>
      </c>
      <c r="M55" s="4">
        <v>0.53</v>
      </c>
      <c r="N55" s="4">
        <v>6.5</v>
      </c>
      <c r="O55" s="4">
        <v>37.01</v>
      </c>
      <c r="P55" s="4">
        <v>87.71</v>
      </c>
    </row>
    <row r="56" spans="1:16" x14ac:dyDescent="0.25">
      <c r="A56" s="3">
        <v>6</v>
      </c>
      <c r="B56" s="3" t="s">
        <v>103</v>
      </c>
      <c r="C56" s="3" t="s">
        <v>49</v>
      </c>
      <c r="D56" s="3"/>
      <c r="E56" s="3" t="s">
        <v>49</v>
      </c>
      <c r="F56" s="3" t="s">
        <v>50</v>
      </c>
      <c r="G56" s="3" t="s">
        <v>109</v>
      </c>
      <c r="H56" s="4">
        <v>5.5</v>
      </c>
      <c r="I56" s="4">
        <v>0.02</v>
      </c>
      <c r="J56" s="4"/>
      <c r="K56" s="4">
        <v>0.02</v>
      </c>
      <c r="L56" s="4">
        <v>0.1</v>
      </c>
      <c r="M56" s="4">
        <v>0.45</v>
      </c>
      <c r="N56" s="4">
        <v>5.5</v>
      </c>
      <c r="O56" s="4">
        <v>30.7</v>
      </c>
      <c r="P56" s="4">
        <v>70.81</v>
      </c>
    </row>
    <row r="57" spans="1:16" x14ac:dyDescent="0.25">
      <c r="A57" s="3">
        <v>7</v>
      </c>
      <c r="B57" s="3" t="s">
        <v>103</v>
      </c>
      <c r="C57" s="3" t="s">
        <v>49</v>
      </c>
      <c r="D57" s="3"/>
      <c r="E57" s="3" t="s">
        <v>49</v>
      </c>
      <c r="F57" s="3" t="s">
        <v>50</v>
      </c>
      <c r="G57" s="3" t="s">
        <v>110</v>
      </c>
      <c r="H57" s="4">
        <v>4</v>
      </c>
      <c r="I57" s="4">
        <v>0.02</v>
      </c>
      <c r="J57" s="4"/>
      <c r="K57" s="4">
        <v>0.02</v>
      </c>
      <c r="L57" s="4">
        <v>0.08</v>
      </c>
      <c r="M57" s="4">
        <v>0.33</v>
      </c>
      <c r="N57" s="4">
        <v>4</v>
      </c>
      <c r="O57" s="4">
        <v>21.67</v>
      </c>
      <c r="P57" s="4">
        <v>48.02</v>
      </c>
    </row>
    <row r="58" spans="1:16" x14ac:dyDescent="0.25">
      <c r="A58" s="3">
        <v>8</v>
      </c>
      <c r="B58" s="3" t="s">
        <v>103</v>
      </c>
      <c r="C58" s="3" t="s">
        <v>49</v>
      </c>
      <c r="D58" s="3"/>
      <c r="E58" s="3" t="s">
        <v>49</v>
      </c>
      <c r="F58" s="3" t="s">
        <v>50</v>
      </c>
      <c r="G58" s="3" t="s">
        <v>111</v>
      </c>
      <c r="H58" s="4">
        <v>2</v>
      </c>
      <c r="I58" s="4">
        <v>0.01</v>
      </c>
      <c r="J58" s="4"/>
      <c r="K58" s="4">
        <v>0.01</v>
      </c>
      <c r="L58" s="4">
        <v>0.04</v>
      </c>
      <c r="M58" s="4">
        <v>0.17</v>
      </c>
      <c r="N58" s="4">
        <v>2</v>
      </c>
      <c r="O58" s="4">
        <v>10.41</v>
      </c>
      <c r="P58" s="4">
        <v>21.9</v>
      </c>
    </row>
    <row r="59" spans="1:16" x14ac:dyDescent="0.25">
      <c r="A59" s="3">
        <v>9</v>
      </c>
      <c r="B59" s="3" t="s">
        <v>103</v>
      </c>
      <c r="C59" s="3" t="s">
        <v>49</v>
      </c>
      <c r="D59" s="3"/>
      <c r="E59" s="3" t="s">
        <v>49</v>
      </c>
      <c r="F59" s="3" t="s">
        <v>50</v>
      </c>
      <c r="G59" s="3" t="s">
        <v>112</v>
      </c>
      <c r="H59" s="4">
        <v>-5</v>
      </c>
      <c r="I59" s="4">
        <v>-0.02</v>
      </c>
      <c r="J59" s="4"/>
      <c r="K59" s="4">
        <v>-0.02</v>
      </c>
      <c r="L59" s="4">
        <v>-0.1</v>
      </c>
      <c r="M59" s="4">
        <v>-0.43</v>
      </c>
      <c r="N59" s="4">
        <v>-5</v>
      </c>
      <c r="O59" s="4">
        <v>-22.62</v>
      </c>
      <c r="P59" s="4">
        <v>-40.130000000000003</v>
      </c>
    </row>
    <row r="60" spans="1:16" x14ac:dyDescent="0.25">
      <c r="A60" s="3">
        <v>10</v>
      </c>
      <c r="B60" s="3" t="s">
        <v>103</v>
      </c>
      <c r="C60" s="3" t="s">
        <v>49</v>
      </c>
      <c r="D60" s="3"/>
      <c r="E60" s="3" t="s">
        <v>49</v>
      </c>
      <c r="F60" s="3" t="s">
        <v>50</v>
      </c>
      <c r="G60" s="3" t="s">
        <v>113</v>
      </c>
      <c r="H60" s="4">
        <v>-12</v>
      </c>
      <c r="I60" s="4">
        <v>-0.05</v>
      </c>
      <c r="J60" s="4"/>
      <c r="K60" s="4">
        <v>-0.05</v>
      </c>
      <c r="L60" s="4">
        <v>-0.25</v>
      </c>
      <c r="M60" s="4">
        <v>-1.06</v>
      </c>
      <c r="N60" s="4">
        <v>-12</v>
      </c>
      <c r="O60" s="4">
        <v>-47.23</v>
      </c>
      <c r="P60" s="4">
        <v>-72.150000000000006</v>
      </c>
    </row>
    <row r="61" spans="1:16" x14ac:dyDescent="0.25">
      <c r="A61" s="3">
        <v>11</v>
      </c>
      <c r="B61" s="3" t="s">
        <v>103</v>
      </c>
      <c r="C61" s="3" t="s">
        <v>49</v>
      </c>
      <c r="D61" s="3"/>
      <c r="E61" s="3" t="s">
        <v>49</v>
      </c>
      <c r="F61" s="3" t="s">
        <v>81</v>
      </c>
      <c r="G61" s="3" t="s">
        <v>114</v>
      </c>
      <c r="H61" s="4">
        <v>4.7300000000000004</v>
      </c>
      <c r="I61" s="4">
        <v>0.02</v>
      </c>
      <c r="J61" s="4"/>
      <c r="K61" s="4">
        <v>0.02</v>
      </c>
      <c r="L61" s="4">
        <v>0.09</v>
      </c>
      <c r="M61" s="4">
        <v>0.39</v>
      </c>
      <c r="N61" s="4">
        <v>4.7300000000000004</v>
      </c>
      <c r="O61" s="4">
        <v>26</v>
      </c>
      <c r="P61" s="4">
        <v>58.75</v>
      </c>
    </row>
    <row r="62" spans="1:16" ht="30" x14ac:dyDescent="0.25">
      <c r="A62" s="3">
        <v>12</v>
      </c>
      <c r="B62" s="3" t="s">
        <v>103</v>
      </c>
      <c r="C62" s="3" t="s">
        <v>49</v>
      </c>
      <c r="D62" s="3"/>
      <c r="E62" s="3" t="s">
        <v>49</v>
      </c>
      <c r="F62" s="3" t="s">
        <v>81</v>
      </c>
      <c r="G62" s="3" t="s">
        <v>115</v>
      </c>
      <c r="H62" s="4">
        <v>6.75</v>
      </c>
      <c r="I62" s="4">
        <v>0.03</v>
      </c>
      <c r="J62" s="4"/>
      <c r="K62" s="4">
        <v>0.03</v>
      </c>
      <c r="L62" s="4">
        <v>0.13</v>
      </c>
      <c r="M62" s="4">
        <v>0.55000000000000004</v>
      </c>
      <c r="N62" s="4">
        <v>6.75</v>
      </c>
      <c r="O62" s="4">
        <v>38.619999999999997</v>
      </c>
      <c r="P62" s="4">
        <v>92.17</v>
      </c>
    </row>
    <row r="63" spans="1:16" x14ac:dyDescent="0.25">
      <c r="A63" s="3">
        <v>1</v>
      </c>
      <c r="B63" s="3" t="s">
        <v>116</v>
      </c>
      <c r="C63" s="3" t="s">
        <v>49</v>
      </c>
      <c r="D63" s="3"/>
      <c r="E63" s="3" t="s">
        <v>49</v>
      </c>
      <c r="F63" s="3" t="s">
        <v>50</v>
      </c>
      <c r="G63" s="3" t="s">
        <v>117</v>
      </c>
      <c r="H63" s="4">
        <v>45</v>
      </c>
      <c r="I63" s="4">
        <v>0.15</v>
      </c>
      <c r="J63" s="4"/>
      <c r="K63" s="4">
        <v>0.15</v>
      </c>
      <c r="L63" s="4">
        <v>0.72</v>
      </c>
      <c r="M63" s="4">
        <v>3.14</v>
      </c>
      <c r="N63" s="4">
        <v>45</v>
      </c>
      <c r="O63" s="4">
        <v>540.97</v>
      </c>
      <c r="P63" s="4">
        <v>4008.47</v>
      </c>
    </row>
    <row r="64" spans="1:16" x14ac:dyDescent="0.25">
      <c r="A64" s="3">
        <v>2</v>
      </c>
      <c r="B64" s="3" t="s">
        <v>116</v>
      </c>
      <c r="C64" s="3" t="s">
        <v>49</v>
      </c>
      <c r="D64" s="3"/>
      <c r="E64" s="3" t="s">
        <v>49</v>
      </c>
      <c r="F64" s="3" t="s">
        <v>50</v>
      </c>
      <c r="G64" s="3" t="s">
        <v>118</v>
      </c>
      <c r="H64" s="4">
        <v>10</v>
      </c>
      <c r="I64" s="4">
        <v>0.04</v>
      </c>
      <c r="J64" s="4"/>
      <c r="K64" s="4">
        <v>0.04</v>
      </c>
      <c r="L64" s="4">
        <v>0.18</v>
      </c>
      <c r="M64" s="4">
        <v>0.8</v>
      </c>
      <c r="N64" s="4">
        <v>10</v>
      </c>
      <c r="O64" s="4">
        <v>61.05</v>
      </c>
      <c r="P64" s="4">
        <v>159.37</v>
      </c>
    </row>
    <row r="65" spans="1:16" x14ac:dyDescent="0.25">
      <c r="A65" s="3">
        <v>3</v>
      </c>
      <c r="B65" s="3" t="s">
        <v>116</v>
      </c>
      <c r="C65" s="3" t="s">
        <v>49</v>
      </c>
      <c r="D65" s="3"/>
      <c r="E65" s="3" t="s">
        <v>49</v>
      </c>
      <c r="F65" s="3" t="s">
        <v>50</v>
      </c>
      <c r="G65" s="3" t="s">
        <v>119</v>
      </c>
      <c r="H65" s="4">
        <v>5</v>
      </c>
      <c r="I65" s="4">
        <v>0.02</v>
      </c>
      <c r="J65" s="4"/>
      <c r="K65" s="4">
        <v>0.02</v>
      </c>
      <c r="L65" s="4">
        <v>0.09</v>
      </c>
      <c r="M65" s="4">
        <v>0.41</v>
      </c>
      <c r="N65" s="4">
        <v>5</v>
      </c>
      <c r="O65" s="4">
        <v>27.63</v>
      </c>
      <c r="P65" s="4">
        <v>62.89</v>
      </c>
    </row>
    <row r="66" spans="1:16" x14ac:dyDescent="0.25">
      <c r="A66" s="3">
        <v>4</v>
      </c>
      <c r="B66" s="3" t="s">
        <v>116</v>
      </c>
      <c r="C66" s="3" t="s">
        <v>49</v>
      </c>
      <c r="D66" s="3"/>
      <c r="E66" s="3" t="s">
        <v>49</v>
      </c>
      <c r="F66" s="3" t="s">
        <v>50</v>
      </c>
      <c r="G66" s="3" t="s">
        <v>120</v>
      </c>
      <c r="H66" s="4">
        <v>2</v>
      </c>
      <c r="I66" s="4">
        <v>0.01</v>
      </c>
      <c r="J66" s="4"/>
      <c r="K66" s="4">
        <v>0.01</v>
      </c>
      <c r="L66" s="4">
        <v>0.04</v>
      </c>
      <c r="M66" s="4">
        <v>0.17</v>
      </c>
      <c r="N66" s="4">
        <v>2</v>
      </c>
      <c r="O66" s="4">
        <v>10.41</v>
      </c>
      <c r="P66" s="4">
        <v>21.9</v>
      </c>
    </row>
    <row r="67" spans="1:16" x14ac:dyDescent="0.25">
      <c r="A67" s="3">
        <v>5</v>
      </c>
      <c r="B67" s="3" t="s">
        <v>116</v>
      </c>
      <c r="C67" s="3" t="s">
        <v>49</v>
      </c>
      <c r="D67" s="3"/>
      <c r="E67" s="3" t="s">
        <v>49</v>
      </c>
      <c r="F67" s="3" t="s">
        <v>50</v>
      </c>
      <c r="G67" s="3" t="s">
        <v>121</v>
      </c>
      <c r="H67" s="4">
        <v>-10</v>
      </c>
      <c r="I67" s="4">
        <v>-0.04</v>
      </c>
      <c r="J67" s="4"/>
      <c r="K67" s="4">
        <v>-0.04</v>
      </c>
      <c r="L67" s="4">
        <v>-0.2</v>
      </c>
      <c r="M67" s="4">
        <v>-0.87</v>
      </c>
      <c r="N67" s="4">
        <v>-10</v>
      </c>
      <c r="O67" s="4">
        <v>-40.950000000000003</v>
      </c>
      <c r="P67" s="4">
        <v>-65.13</v>
      </c>
    </row>
    <row r="68" spans="1:16" x14ac:dyDescent="0.25">
      <c r="A68" s="3">
        <v>6</v>
      </c>
      <c r="B68" s="3" t="s">
        <v>116</v>
      </c>
      <c r="C68" s="3" t="s">
        <v>49</v>
      </c>
      <c r="D68" s="3"/>
      <c r="E68" s="3" t="s">
        <v>49</v>
      </c>
      <c r="F68" s="3" t="s">
        <v>50</v>
      </c>
      <c r="G68" s="3" t="s">
        <v>122</v>
      </c>
      <c r="H68" s="4">
        <v>-15</v>
      </c>
      <c r="I68" s="4">
        <v>-0.06</v>
      </c>
      <c r="J68" s="4"/>
      <c r="K68" s="4">
        <v>-0.06</v>
      </c>
      <c r="L68" s="4">
        <v>-0.31</v>
      </c>
      <c r="M68" s="4">
        <v>-1.35</v>
      </c>
      <c r="N68" s="4">
        <v>-15</v>
      </c>
      <c r="O68" s="4">
        <v>-55.63</v>
      </c>
      <c r="P68" s="4">
        <v>-80.31</v>
      </c>
    </row>
    <row r="69" spans="1:16" x14ac:dyDescent="0.25">
      <c r="A69" s="3">
        <v>7</v>
      </c>
      <c r="B69" s="3" t="s">
        <v>116</v>
      </c>
      <c r="C69" s="3" t="s">
        <v>49</v>
      </c>
      <c r="D69" s="3"/>
      <c r="E69" s="3" t="s">
        <v>49</v>
      </c>
      <c r="F69" s="3" t="s">
        <v>50</v>
      </c>
      <c r="G69" s="3" t="s">
        <v>123</v>
      </c>
      <c r="H69" s="4">
        <v>-70</v>
      </c>
      <c r="I69" s="4">
        <v>-0.48</v>
      </c>
      <c r="J69" s="4"/>
      <c r="K69" s="4">
        <v>-0.48</v>
      </c>
      <c r="L69" s="4">
        <v>-2.29</v>
      </c>
      <c r="M69" s="4">
        <v>-9.5500000000000007</v>
      </c>
      <c r="N69" s="4">
        <v>-70</v>
      </c>
      <c r="O69" s="4">
        <v>-99.76</v>
      </c>
      <c r="P69" s="4">
        <v>-100</v>
      </c>
    </row>
    <row r="70" spans="1:16" x14ac:dyDescent="0.25">
      <c r="A70" s="3">
        <v>8</v>
      </c>
      <c r="B70" s="3" t="s">
        <v>116</v>
      </c>
      <c r="C70" s="3" t="s">
        <v>49</v>
      </c>
      <c r="D70" s="3"/>
      <c r="E70" s="3" t="s">
        <v>49</v>
      </c>
      <c r="F70" s="3" t="s">
        <v>81</v>
      </c>
      <c r="G70" s="3" t="s">
        <v>124</v>
      </c>
      <c r="H70" s="4">
        <v>36</v>
      </c>
      <c r="I70" s="4">
        <v>0.12</v>
      </c>
      <c r="J70" s="4"/>
      <c r="K70" s="4">
        <v>0.12</v>
      </c>
      <c r="L70" s="4">
        <v>0.59</v>
      </c>
      <c r="M70" s="4">
        <v>2.6</v>
      </c>
      <c r="N70" s="4">
        <v>36</v>
      </c>
      <c r="O70" s="4">
        <v>365.26</v>
      </c>
      <c r="P70" s="4">
        <v>2064.66</v>
      </c>
    </row>
    <row r="71" spans="1:16" x14ac:dyDescent="0.25">
      <c r="A71" s="3">
        <v>9</v>
      </c>
      <c r="B71" s="3" t="s">
        <v>116</v>
      </c>
      <c r="C71" s="3" t="s">
        <v>49</v>
      </c>
      <c r="D71" s="3"/>
      <c r="E71" s="3" t="s">
        <v>49</v>
      </c>
      <c r="F71" s="3" t="s">
        <v>81</v>
      </c>
      <c r="G71" s="3" t="s">
        <v>125</v>
      </c>
      <c r="H71" s="4">
        <v>28.35</v>
      </c>
      <c r="I71" s="4">
        <v>0.1</v>
      </c>
      <c r="J71" s="4"/>
      <c r="K71" s="4">
        <v>0.1</v>
      </c>
      <c r="L71" s="4">
        <v>0.48</v>
      </c>
      <c r="M71" s="4">
        <v>2.1</v>
      </c>
      <c r="N71" s="4">
        <v>28.35</v>
      </c>
      <c r="O71" s="4">
        <v>248.32</v>
      </c>
      <c r="P71" s="4">
        <v>1113.27</v>
      </c>
    </row>
    <row r="72" spans="1:16" x14ac:dyDescent="0.25">
      <c r="A72" s="3">
        <v>10</v>
      </c>
      <c r="B72" s="3" t="s">
        <v>116</v>
      </c>
      <c r="C72" s="3" t="s">
        <v>49</v>
      </c>
      <c r="D72" s="3"/>
      <c r="E72" s="3" t="s">
        <v>49</v>
      </c>
      <c r="F72" s="3" t="s">
        <v>81</v>
      </c>
      <c r="G72" s="3" t="s">
        <v>126</v>
      </c>
      <c r="H72" s="4">
        <v>8</v>
      </c>
      <c r="I72" s="4">
        <v>0.03</v>
      </c>
      <c r="J72" s="4"/>
      <c r="K72" s="4">
        <v>0.03</v>
      </c>
      <c r="L72" s="4">
        <v>0.15</v>
      </c>
      <c r="M72" s="4">
        <v>0.64</v>
      </c>
      <c r="N72" s="4">
        <v>8</v>
      </c>
      <c r="O72" s="4">
        <v>46.93</v>
      </c>
      <c r="P72" s="4">
        <v>115.89</v>
      </c>
    </row>
    <row r="73" spans="1:16" x14ac:dyDescent="0.25">
      <c r="A73" s="3">
        <v>1</v>
      </c>
      <c r="B73" s="3" t="s">
        <v>127</v>
      </c>
      <c r="C73" s="3" t="s">
        <v>128</v>
      </c>
      <c r="D73" s="3" t="s">
        <v>129</v>
      </c>
      <c r="E73" s="3" t="s">
        <v>49</v>
      </c>
      <c r="F73" s="3" t="s">
        <v>50</v>
      </c>
      <c r="G73" s="3" t="s">
        <v>130</v>
      </c>
      <c r="H73" s="4">
        <v>10</v>
      </c>
      <c r="I73" s="4">
        <v>0.04</v>
      </c>
      <c r="J73" s="4"/>
      <c r="K73" s="4">
        <v>0.04</v>
      </c>
      <c r="L73" s="4">
        <v>0.18</v>
      </c>
      <c r="M73" s="4">
        <v>0.8</v>
      </c>
      <c r="N73" s="4">
        <v>10</v>
      </c>
      <c r="O73" s="4">
        <v>61.05</v>
      </c>
      <c r="P73" s="4">
        <v>159.37</v>
      </c>
    </row>
    <row r="74" spans="1:16" x14ac:dyDescent="0.25">
      <c r="A74" s="3">
        <v>2</v>
      </c>
      <c r="B74" s="3" t="s">
        <v>127</v>
      </c>
      <c r="C74" s="3" t="s">
        <v>128</v>
      </c>
      <c r="D74" s="3" t="s">
        <v>129</v>
      </c>
      <c r="E74" s="3" t="s">
        <v>49</v>
      </c>
      <c r="F74" s="3" t="s">
        <v>50</v>
      </c>
      <c r="G74" s="3" t="s">
        <v>131</v>
      </c>
      <c r="H74" s="4">
        <v>8</v>
      </c>
      <c r="I74" s="4">
        <v>0.03</v>
      </c>
      <c r="J74" s="4"/>
      <c r="K74" s="4">
        <v>0.03</v>
      </c>
      <c r="L74" s="4">
        <v>0.15</v>
      </c>
      <c r="M74" s="4">
        <v>0.64</v>
      </c>
      <c r="N74" s="4">
        <v>8</v>
      </c>
      <c r="O74" s="4">
        <v>46.93</v>
      </c>
      <c r="P74" s="4">
        <v>115.89</v>
      </c>
    </row>
    <row r="75" spans="1:16" x14ac:dyDescent="0.25">
      <c r="A75" s="3">
        <v>3</v>
      </c>
      <c r="B75" s="3" t="s">
        <v>127</v>
      </c>
      <c r="C75" s="3" t="s">
        <v>128</v>
      </c>
      <c r="D75" s="3" t="s">
        <v>129</v>
      </c>
      <c r="E75" s="3" t="s">
        <v>49</v>
      </c>
      <c r="F75" s="3" t="s">
        <v>50</v>
      </c>
      <c r="G75" s="3" t="s">
        <v>132</v>
      </c>
      <c r="H75" s="4">
        <v>7</v>
      </c>
      <c r="I75" s="4">
        <v>0.03</v>
      </c>
      <c r="J75" s="4"/>
      <c r="K75" s="4">
        <v>0.03</v>
      </c>
      <c r="L75" s="4">
        <v>0.13</v>
      </c>
      <c r="M75" s="4">
        <v>0.56999999999999995</v>
      </c>
      <c r="N75" s="4">
        <v>7</v>
      </c>
      <c r="O75" s="4">
        <v>40.26</v>
      </c>
      <c r="P75" s="4">
        <v>96.72</v>
      </c>
    </row>
    <row r="76" spans="1:16" x14ac:dyDescent="0.25">
      <c r="A76" s="3">
        <v>4</v>
      </c>
      <c r="B76" s="3" t="s">
        <v>127</v>
      </c>
      <c r="C76" s="3" t="s">
        <v>128</v>
      </c>
      <c r="D76" s="3" t="s">
        <v>129</v>
      </c>
      <c r="E76" s="3" t="s">
        <v>49</v>
      </c>
      <c r="F76" s="3" t="s">
        <v>50</v>
      </c>
      <c r="G76" s="3" t="s">
        <v>133</v>
      </c>
      <c r="H76" s="4">
        <v>3</v>
      </c>
      <c r="I76" s="4">
        <v>0.01</v>
      </c>
      <c r="J76" s="4"/>
      <c r="K76" s="4">
        <v>0.01</v>
      </c>
      <c r="L76" s="4">
        <v>0.06</v>
      </c>
      <c r="M76" s="4">
        <v>0.25</v>
      </c>
      <c r="N76" s="4">
        <v>3</v>
      </c>
      <c r="O76" s="4">
        <v>15.93</v>
      </c>
      <c r="P76" s="4">
        <v>34.39</v>
      </c>
    </row>
    <row r="77" spans="1:16" x14ac:dyDescent="0.25">
      <c r="A77" s="3">
        <v>11</v>
      </c>
      <c r="B77" s="3" t="s">
        <v>127</v>
      </c>
      <c r="C77" s="3" t="s">
        <v>128</v>
      </c>
      <c r="D77" s="3" t="s">
        <v>129</v>
      </c>
      <c r="E77" s="3" t="s">
        <v>49</v>
      </c>
      <c r="F77" s="3" t="s">
        <v>81</v>
      </c>
      <c r="G77" s="3" t="s">
        <v>134</v>
      </c>
      <c r="H77" s="4">
        <v>6.3</v>
      </c>
      <c r="I77" s="4">
        <v>0.02</v>
      </c>
      <c r="J77" s="4"/>
      <c r="K77" s="4">
        <v>0.02</v>
      </c>
      <c r="L77" s="4">
        <v>0.12</v>
      </c>
      <c r="M77" s="4">
        <v>0.51</v>
      </c>
      <c r="N77" s="4">
        <v>6.3</v>
      </c>
      <c r="O77" s="4">
        <v>35.729999999999997</v>
      </c>
      <c r="P77" s="4">
        <v>84.22</v>
      </c>
    </row>
    <row r="78" spans="1:16" x14ac:dyDescent="0.25">
      <c r="A78" s="3">
        <v>12</v>
      </c>
      <c r="B78" s="3" t="s">
        <v>127</v>
      </c>
      <c r="C78" s="3" t="s">
        <v>128</v>
      </c>
      <c r="D78" s="3" t="s">
        <v>129</v>
      </c>
      <c r="E78" s="3" t="s">
        <v>49</v>
      </c>
      <c r="F78" s="3" t="s">
        <v>81</v>
      </c>
      <c r="G78" s="3" t="s">
        <v>135</v>
      </c>
      <c r="H78" s="4">
        <v>5.04</v>
      </c>
      <c r="I78" s="4">
        <v>0.02</v>
      </c>
      <c r="J78" s="4"/>
      <c r="K78" s="4">
        <v>0.02</v>
      </c>
      <c r="L78" s="4">
        <v>0.09</v>
      </c>
      <c r="M78" s="4">
        <v>0.41</v>
      </c>
      <c r="N78" s="4">
        <v>5.04</v>
      </c>
      <c r="O78" s="4">
        <v>27.87</v>
      </c>
      <c r="P78" s="4">
        <v>63.51</v>
      </c>
    </row>
    <row r="79" spans="1:16" x14ac:dyDescent="0.25">
      <c r="A79" s="3">
        <v>13</v>
      </c>
      <c r="B79" s="3" t="s">
        <v>127</v>
      </c>
      <c r="C79" s="3" t="s">
        <v>128</v>
      </c>
      <c r="D79" s="3" t="s">
        <v>129</v>
      </c>
      <c r="E79" s="3" t="s">
        <v>49</v>
      </c>
      <c r="F79" s="3" t="s">
        <v>81</v>
      </c>
      <c r="G79" s="3" t="s">
        <v>136</v>
      </c>
      <c r="H79" s="4">
        <v>4.41</v>
      </c>
      <c r="I79" s="4">
        <v>0.02</v>
      </c>
      <c r="J79" s="4"/>
      <c r="K79" s="4">
        <v>0.02</v>
      </c>
      <c r="L79" s="4">
        <v>0.08</v>
      </c>
      <c r="M79" s="4">
        <v>0.36</v>
      </c>
      <c r="N79" s="4">
        <v>4.41</v>
      </c>
      <c r="O79" s="4">
        <v>24.08</v>
      </c>
      <c r="P79" s="4">
        <v>53.96</v>
      </c>
    </row>
    <row r="80" spans="1:16" ht="30" x14ac:dyDescent="0.25">
      <c r="A80" s="3">
        <v>14</v>
      </c>
      <c r="B80" s="3" t="s">
        <v>127</v>
      </c>
      <c r="C80" s="3" t="s">
        <v>128</v>
      </c>
      <c r="D80" s="3" t="s">
        <v>129</v>
      </c>
      <c r="E80" s="3" t="s">
        <v>49</v>
      </c>
      <c r="F80" s="3" t="s">
        <v>81</v>
      </c>
      <c r="G80" s="3" t="s">
        <v>137</v>
      </c>
      <c r="H80" s="4">
        <v>2.2000000000000002</v>
      </c>
      <c r="I80" s="4">
        <v>0.01</v>
      </c>
      <c r="J80" s="4"/>
      <c r="K80" s="4">
        <v>0.01</v>
      </c>
      <c r="L80" s="4">
        <v>0.04</v>
      </c>
      <c r="M80" s="4">
        <v>0.18</v>
      </c>
      <c r="N80" s="4">
        <v>2.2000000000000002</v>
      </c>
      <c r="O80" s="4">
        <v>11.49</v>
      </c>
      <c r="P80" s="4">
        <v>24.31</v>
      </c>
    </row>
    <row r="81" spans="1:16" x14ac:dyDescent="0.25">
      <c r="A81" s="3">
        <v>5</v>
      </c>
      <c r="B81" s="3" t="s">
        <v>127</v>
      </c>
      <c r="C81" s="3" t="s">
        <v>128</v>
      </c>
      <c r="D81" s="3" t="s">
        <v>138</v>
      </c>
      <c r="E81" s="3" t="s">
        <v>139</v>
      </c>
      <c r="F81" s="3" t="s">
        <v>50</v>
      </c>
      <c r="G81" s="3" t="s">
        <v>140</v>
      </c>
      <c r="H81" s="4">
        <v>-8</v>
      </c>
      <c r="I81" s="4"/>
      <c r="J81" s="4">
        <v>-0.8</v>
      </c>
      <c r="K81" s="4">
        <v>-1.6</v>
      </c>
      <c r="L81" s="4">
        <v>-9.6</v>
      </c>
      <c r="M81" s="4">
        <v>-41.6</v>
      </c>
      <c r="N81" s="4">
        <v>-500</v>
      </c>
      <c r="O81" s="4">
        <v>-2500</v>
      </c>
      <c r="P81" s="4">
        <v>-5000</v>
      </c>
    </row>
    <row r="82" spans="1:16" x14ac:dyDescent="0.25">
      <c r="A82" s="3">
        <v>6</v>
      </c>
      <c r="B82" s="3" t="s">
        <v>127</v>
      </c>
      <c r="C82" s="3" t="s">
        <v>128</v>
      </c>
      <c r="D82" s="3" t="s">
        <v>138</v>
      </c>
      <c r="E82" s="3" t="s">
        <v>139</v>
      </c>
      <c r="F82" s="3" t="s">
        <v>50</v>
      </c>
      <c r="G82" s="3" t="s">
        <v>141</v>
      </c>
      <c r="H82" s="4">
        <v>-15</v>
      </c>
      <c r="I82" s="4"/>
      <c r="J82" s="4">
        <v>-1.5</v>
      </c>
      <c r="K82" s="4">
        <v>-3</v>
      </c>
      <c r="L82" s="4">
        <v>-18</v>
      </c>
      <c r="M82" s="4">
        <v>-78</v>
      </c>
      <c r="N82" s="4">
        <v>-937.5</v>
      </c>
      <c r="O82" s="4">
        <v>-4687.5</v>
      </c>
      <c r="P82" s="4">
        <v>-9375</v>
      </c>
    </row>
    <row r="83" spans="1:16" x14ac:dyDescent="0.25">
      <c r="A83" s="3">
        <v>7</v>
      </c>
      <c r="B83" s="3" t="s">
        <v>127</v>
      </c>
      <c r="C83" s="3" t="s">
        <v>128</v>
      </c>
      <c r="D83" s="3" t="s">
        <v>138</v>
      </c>
      <c r="E83" s="3" t="s">
        <v>139</v>
      </c>
      <c r="F83" s="3" t="s">
        <v>50</v>
      </c>
      <c r="G83" s="3" t="s">
        <v>142</v>
      </c>
      <c r="H83" s="4">
        <v>-25</v>
      </c>
      <c r="I83" s="4"/>
      <c r="J83" s="4">
        <v>-2.5</v>
      </c>
      <c r="K83" s="4">
        <v>-5</v>
      </c>
      <c r="L83" s="4">
        <v>-30</v>
      </c>
      <c r="M83" s="4">
        <v>-130</v>
      </c>
      <c r="N83" s="4">
        <v>-1562.5</v>
      </c>
      <c r="O83" s="4">
        <v>-7812.5</v>
      </c>
      <c r="P83" s="4">
        <v>-15625</v>
      </c>
    </row>
    <row r="84" spans="1:16" x14ac:dyDescent="0.25">
      <c r="A84" s="3">
        <v>8</v>
      </c>
      <c r="B84" s="3" t="s">
        <v>127</v>
      </c>
      <c r="C84" s="3" t="s">
        <v>128</v>
      </c>
      <c r="D84" s="3" t="s">
        <v>138</v>
      </c>
      <c r="E84" s="3" t="s">
        <v>139</v>
      </c>
      <c r="F84" s="3" t="s">
        <v>50</v>
      </c>
      <c r="G84" s="3" t="s">
        <v>143</v>
      </c>
      <c r="H84" s="4">
        <v>-35</v>
      </c>
      <c r="I84" s="4"/>
      <c r="J84" s="4">
        <v>-3.5</v>
      </c>
      <c r="K84" s="4">
        <v>-7</v>
      </c>
      <c r="L84" s="4">
        <v>-42</v>
      </c>
      <c r="M84" s="4">
        <v>-182</v>
      </c>
      <c r="N84" s="4">
        <v>-2187.5</v>
      </c>
      <c r="O84" s="4">
        <v>-10937.5</v>
      </c>
      <c r="P84" s="4">
        <v>-21875</v>
      </c>
    </row>
    <row r="85" spans="1:16" x14ac:dyDescent="0.25">
      <c r="A85" s="3">
        <v>9</v>
      </c>
      <c r="B85" s="3" t="s">
        <v>127</v>
      </c>
      <c r="C85" s="3" t="s">
        <v>128</v>
      </c>
      <c r="D85" s="3" t="s">
        <v>138</v>
      </c>
      <c r="E85" s="3" t="s">
        <v>139</v>
      </c>
      <c r="F85" s="3" t="s">
        <v>50</v>
      </c>
      <c r="G85" s="3" t="s">
        <v>144</v>
      </c>
      <c r="H85" s="4">
        <v>-50</v>
      </c>
      <c r="I85" s="4"/>
      <c r="J85" s="4">
        <v>-5</v>
      </c>
      <c r="K85" s="4">
        <v>-10</v>
      </c>
      <c r="L85" s="4">
        <v>-60</v>
      </c>
      <c r="M85" s="4">
        <v>-260</v>
      </c>
      <c r="N85" s="4">
        <v>-3125</v>
      </c>
      <c r="O85" s="4">
        <v>-15625</v>
      </c>
      <c r="P85" s="4">
        <v>-31250</v>
      </c>
    </row>
    <row r="86" spans="1:16" x14ac:dyDescent="0.25">
      <c r="A86" s="3">
        <v>10</v>
      </c>
      <c r="B86" s="3" t="s">
        <v>127</v>
      </c>
      <c r="C86" s="3" t="s">
        <v>128</v>
      </c>
      <c r="D86" s="3" t="s">
        <v>138</v>
      </c>
      <c r="E86" s="3" t="s">
        <v>139</v>
      </c>
      <c r="F86" s="3" t="s">
        <v>50</v>
      </c>
      <c r="G86" s="3" t="s">
        <v>145</v>
      </c>
      <c r="H86" s="4">
        <v>-60</v>
      </c>
      <c r="I86" s="4"/>
      <c r="J86" s="4">
        <v>-6</v>
      </c>
      <c r="K86" s="4">
        <v>-12</v>
      </c>
      <c r="L86" s="4">
        <v>-72</v>
      </c>
      <c r="M86" s="4">
        <v>-312</v>
      </c>
      <c r="N86" s="4">
        <v>-3750</v>
      </c>
      <c r="O86" s="4">
        <v>-18750</v>
      </c>
      <c r="P86" s="4">
        <v>-37500</v>
      </c>
    </row>
    <row r="87" spans="1:16" x14ac:dyDescent="0.25">
      <c r="A87" s="3">
        <v>1</v>
      </c>
      <c r="B87" s="3" t="s">
        <v>146</v>
      </c>
      <c r="C87" s="3" t="s">
        <v>49</v>
      </c>
      <c r="D87" s="3"/>
      <c r="E87" s="3" t="s">
        <v>49</v>
      </c>
      <c r="F87" s="3" t="s">
        <v>50</v>
      </c>
      <c r="G87" s="3" t="s">
        <v>147</v>
      </c>
      <c r="H87" s="4">
        <v>5</v>
      </c>
      <c r="I87" s="4">
        <v>0.02</v>
      </c>
      <c r="J87" s="4"/>
      <c r="K87" s="4">
        <v>0.02</v>
      </c>
      <c r="L87" s="4">
        <v>0.09</v>
      </c>
      <c r="M87" s="4">
        <v>0.41</v>
      </c>
      <c r="N87" s="4">
        <v>5</v>
      </c>
      <c r="O87" s="4">
        <v>27.63</v>
      </c>
      <c r="P87" s="4">
        <v>62.89</v>
      </c>
    </row>
    <row r="88" spans="1:16" x14ac:dyDescent="0.25">
      <c r="A88" s="3">
        <v>2</v>
      </c>
      <c r="B88" s="3" t="s">
        <v>146</v>
      </c>
      <c r="C88" s="3" t="s">
        <v>49</v>
      </c>
      <c r="D88" s="3"/>
      <c r="E88" s="3" t="s">
        <v>49</v>
      </c>
      <c r="F88" s="3" t="s">
        <v>50</v>
      </c>
      <c r="G88" s="3" t="s">
        <v>148</v>
      </c>
      <c r="H88" s="4">
        <v>-12</v>
      </c>
      <c r="I88" s="4">
        <v>-0.05</v>
      </c>
      <c r="J88" s="4"/>
      <c r="K88" s="4">
        <v>-0.05</v>
      </c>
      <c r="L88" s="4">
        <v>-0.25</v>
      </c>
      <c r="M88" s="4">
        <v>-1.06</v>
      </c>
      <c r="N88" s="4">
        <v>-12</v>
      </c>
      <c r="O88" s="4">
        <v>-47.23</v>
      </c>
      <c r="P88" s="4">
        <v>-72.150000000000006</v>
      </c>
    </row>
    <row r="89" spans="1:16" x14ac:dyDescent="0.25">
      <c r="A89" s="3">
        <v>3</v>
      </c>
      <c r="B89" s="3" t="s">
        <v>146</v>
      </c>
      <c r="C89" s="3" t="s">
        <v>49</v>
      </c>
      <c r="D89" s="3"/>
      <c r="E89" s="3" t="s">
        <v>49</v>
      </c>
      <c r="F89" s="3" t="s">
        <v>50</v>
      </c>
      <c r="G89" s="3" t="s">
        <v>149</v>
      </c>
      <c r="H89" s="4">
        <v>-18</v>
      </c>
      <c r="I89" s="4">
        <v>-0.08</v>
      </c>
      <c r="J89" s="4"/>
      <c r="K89" s="4">
        <v>-0.08</v>
      </c>
      <c r="L89" s="4">
        <v>-0.38</v>
      </c>
      <c r="M89" s="4">
        <v>-1.64</v>
      </c>
      <c r="N89" s="4">
        <v>-18</v>
      </c>
      <c r="O89" s="4">
        <v>-62.93</v>
      </c>
      <c r="P89" s="4">
        <v>-86.26</v>
      </c>
    </row>
    <row r="90" spans="1:16" x14ac:dyDescent="0.25">
      <c r="A90" s="3">
        <v>4</v>
      </c>
      <c r="B90" s="3" t="s">
        <v>146</v>
      </c>
      <c r="C90" s="3" t="s">
        <v>49</v>
      </c>
      <c r="D90" s="3"/>
      <c r="E90" s="3" t="s">
        <v>49</v>
      </c>
      <c r="F90" s="3" t="s">
        <v>50</v>
      </c>
      <c r="G90" s="3" t="s">
        <v>150</v>
      </c>
      <c r="H90" s="4">
        <v>-25</v>
      </c>
      <c r="I90" s="4">
        <v>-0.11</v>
      </c>
      <c r="J90" s="4"/>
      <c r="K90" s="4">
        <v>-0.11</v>
      </c>
      <c r="L90" s="4">
        <v>-0.55000000000000004</v>
      </c>
      <c r="M90" s="4">
        <v>-2.37</v>
      </c>
      <c r="N90" s="4">
        <v>-25</v>
      </c>
      <c r="O90" s="4">
        <v>-76.27</v>
      </c>
      <c r="P90" s="4">
        <v>-94.37</v>
      </c>
    </row>
    <row r="91" spans="1:16" x14ac:dyDescent="0.25">
      <c r="A91" s="3">
        <v>5</v>
      </c>
      <c r="B91" s="3" t="s">
        <v>146</v>
      </c>
      <c r="C91" s="3" t="s">
        <v>49</v>
      </c>
      <c r="D91" s="3"/>
      <c r="E91" s="3" t="s">
        <v>49</v>
      </c>
      <c r="F91" s="3" t="s">
        <v>50</v>
      </c>
      <c r="G91" s="3" t="s">
        <v>151</v>
      </c>
      <c r="H91" s="4">
        <v>-28</v>
      </c>
      <c r="I91" s="4">
        <v>-0.13</v>
      </c>
      <c r="J91" s="4"/>
      <c r="K91" s="4">
        <v>-0.13</v>
      </c>
      <c r="L91" s="4">
        <v>-0.63</v>
      </c>
      <c r="M91" s="4">
        <v>-2.7</v>
      </c>
      <c r="N91" s="4">
        <v>-28</v>
      </c>
      <c r="O91" s="4">
        <v>-80.650000000000006</v>
      </c>
      <c r="P91" s="4">
        <v>-96.26</v>
      </c>
    </row>
    <row r="92" spans="1:16" x14ac:dyDescent="0.25">
      <c r="A92" s="3">
        <v>6</v>
      </c>
      <c r="B92" s="3" t="s">
        <v>146</v>
      </c>
      <c r="C92" s="3" t="s">
        <v>49</v>
      </c>
      <c r="D92" s="3"/>
      <c r="E92" s="3" t="s">
        <v>49</v>
      </c>
      <c r="F92" s="3" t="s">
        <v>50</v>
      </c>
      <c r="G92" s="3" t="s">
        <v>152</v>
      </c>
      <c r="H92" s="4">
        <v>-30</v>
      </c>
      <c r="I92" s="4">
        <v>-0.14000000000000001</v>
      </c>
      <c r="J92" s="4"/>
      <c r="K92" s="4">
        <v>-0.14000000000000001</v>
      </c>
      <c r="L92" s="4">
        <v>-0.68</v>
      </c>
      <c r="M92" s="4">
        <v>-2.93</v>
      </c>
      <c r="N92" s="4">
        <v>-30</v>
      </c>
      <c r="O92" s="4">
        <v>-83.19</v>
      </c>
      <c r="P92" s="4">
        <v>-97.18</v>
      </c>
    </row>
    <row r="93" spans="1:16" x14ac:dyDescent="0.25">
      <c r="A93" s="3">
        <v>7</v>
      </c>
      <c r="B93" s="3" t="s">
        <v>146</v>
      </c>
      <c r="C93" s="3" t="s">
        <v>49</v>
      </c>
      <c r="D93" s="3"/>
      <c r="E93" s="3" t="s">
        <v>49</v>
      </c>
      <c r="F93" s="3" t="s">
        <v>50</v>
      </c>
      <c r="G93" s="3" t="s">
        <v>153</v>
      </c>
      <c r="H93" s="4">
        <v>-35</v>
      </c>
      <c r="I93" s="4">
        <v>-0.17</v>
      </c>
      <c r="J93" s="4"/>
      <c r="K93" s="4">
        <v>-0.17</v>
      </c>
      <c r="L93" s="4">
        <v>-0.83</v>
      </c>
      <c r="M93" s="4">
        <v>-3.53</v>
      </c>
      <c r="N93" s="4">
        <v>-35</v>
      </c>
      <c r="O93" s="4">
        <v>-88.4</v>
      </c>
      <c r="P93" s="4">
        <v>-98.65</v>
      </c>
    </row>
    <row r="94" spans="1:16" x14ac:dyDescent="0.25">
      <c r="A94" s="3">
        <v>8</v>
      </c>
      <c r="B94" s="3" t="s">
        <v>146</v>
      </c>
      <c r="C94" s="3" t="s">
        <v>49</v>
      </c>
      <c r="D94" s="3"/>
      <c r="E94" s="3" t="s">
        <v>49</v>
      </c>
      <c r="F94" s="3" t="s">
        <v>50</v>
      </c>
      <c r="G94" s="3" t="s">
        <v>154</v>
      </c>
      <c r="H94" s="4">
        <v>-40</v>
      </c>
      <c r="I94" s="4">
        <v>-0.2</v>
      </c>
      <c r="J94" s="4"/>
      <c r="K94" s="4">
        <v>-0.2</v>
      </c>
      <c r="L94" s="4">
        <v>-0.98</v>
      </c>
      <c r="M94" s="4">
        <v>-4.17</v>
      </c>
      <c r="N94" s="4">
        <v>-40</v>
      </c>
      <c r="O94" s="4">
        <v>-92.22</v>
      </c>
      <c r="P94" s="4">
        <v>-99.4</v>
      </c>
    </row>
    <row r="95" spans="1:16" x14ac:dyDescent="0.25">
      <c r="A95" s="3">
        <v>9</v>
      </c>
      <c r="B95" s="3" t="s">
        <v>146</v>
      </c>
      <c r="C95" s="3" t="s">
        <v>49</v>
      </c>
      <c r="D95" s="3"/>
      <c r="E95" s="3" t="s">
        <v>49</v>
      </c>
      <c r="F95" s="3" t="s">
        <v>81</v>
      </c>
      <c r="G95" s="3" t="s">
        <v>155</v>
      </c>
      <c r="H95" s="4">
        <v>3.15</v>
      </c>
      <c r="I95" s="4">
        <v>0.01</v>
      </c>
      <c r="J95" s="4"/>
      <c r="K95" s="4">
        <v>0.01</v>
      </c>
      <c r="L95" s="4">
        <v>0.06</v>
      </c>
      <c r="M95" s="4">
        <v>0.26</v>
      </c>
      <c r="N95" s="4">
        <v>3.15</v>
      </c>
      <c r="O95" s="4">
        <v>16.77</v>
      </c>
      <c r="P95" s="4">
        <v>36.36</v>
      </c>
    </row>
    <row r="96" spans="1:16" x14ac:dyDescent="0.25">
      <c r="A96" s="3">
        <v>10</v>
      </c>
      <c r="B96" s="3" t="s">
        <v>146</v>
      </c>
      <c r="C96" s="3" t="s">
        <v>49</v>
      </c>
      <c r="D96" s="3"/>
      <c r="E96" s="3" t="s">
        <v>49</v>
      </c>
      <c r="F96" s="3" t="s">
        <v>81</v>
      </c>
      <c r="G96" s="3" t="s">
        <v>156</v>
      </c>
      <c r="H96" s="4">
        <v>-30</v>
      </c>
      <c r="I96" s="4">
        <v>-0.14000000000000001</v>
      </c>
      <c r="J96" s="4"/>
      <c r="K96" s="4">
        <v>-0.14000000000000001</v>
      </c>
      <c r="L96" s="4">
        <v>-0.68</v>
      </c>
      <c r="M96" s="4">
        <v>-2.93</v>
      </c>
      <c r="N96" s="4">
        <v>-30</v>
      </c>
      <c r="O96" s="4">
        <v>-83.19</v>
      </c>
      <c r="P96" s="4">
        <v>-97.18</v>
      </c>
    </row>
    <row r="97" spans="1:16" x14ac:dyDescent="0.25">
      <c r="A97" s="3">
        <v>1</v>
      </c>
      <c r="B97" s="3" t="s">
        <v>157</v>
      </c>
      <c r="C97" s="3" t="s">
        <v>49</v>
      </c>
      <c r="D97" s="3"/>
      <c r="E97" s="3" t="s">
        <v>49</v>
      </c>
      <c r="F97" s="3" t="s">
        <v>50</v>
      </c>
      <c r="G97" s="3" t="s">
        <v>158</v>
      </c>
      <c r="H97" s="4">
        <v>6</v>
      </c>
      <c r="I97" s="4">
        <v>0.02</v>
      </c>
      <c r="J97" s="4"/>
      <c r="K97" s="4">
        <v>0.02</v>
      </c>
      <c r="L97" s="4">
        <v>0.11</v>
      </c>
      <c r="M97" s="4">
        <v>0.49</v>
      </c>
      <c r="N97" s="4">
        <v>6</v>
      </c>
      <c r="O97" s="4">
        <v>33.82</v>
      </c>
      <c r="P97" s="4">
        <v>79.08</v>
      </c>
    </row>
    <row r="98" spans="1:16" x14ac:dyDescent="0.25">
      <c r="A98" s="3">
        <v>2</v>
      </c>
      <c r="B98" s="3" t="s">
        <v>157</v>
      </c>
      <c r="C98" s="3" t="s">
        <v>49</v>
      </c>
      <c r="D98" s="3"/>
      <c r="E98" s="3" t="s">
        <v>49</v>
      </c>
      <c r="F98" s="3" t="s">
        <v>50</v>
      </c>
      <c r="G98" s="3" t="s">
        <v>159</v>
      </c>
      <c r="H98" s="4">
        <v>5</v>
      </c>
      <c r="I98" s="4">
        <v>0.02</v>
      </c>
      <c r="J98" s="4"/>
      <c r="K98" s="4">
        <v>0.02</v>
      </c>
      <c r="L98" s="4">
        <v>0.09</v>
      </c>
      <c r="M98" s="4">
        <v>0.41</v>
      </c>
      <c r="N98" s="4">
        <v>5</v>
      </c>
      <c r="O98" s="4">
        <v>27.63</v>
      </c>
      <c r="P98" s="4">
        <v>62.89</v>
      </c>
    </row>
    <row r="99" spans="1:16" x14ac:dyDescent="0.25">
      <c r="A99" s="3">
        <v>3</v>
      </c>
      <c r="B99" s="3" t="s">
        <v>157</v>
      </c>
      <c r="C99" s="3" t="s">
        <v>49</v>
      </c>
      <c r="D99" s="3"/>
      <c r="E99" s="3" t="s">
        <v>49</v>
      </c>
      <c r="F99" s="3" t="s">
        <v>50</v>
      </c>
      <c r="G99" s="3" t="s">
        <v>160</v>
      </c>
      <c r="H99" s="4">
        <v>4</v>
      </c>
      <c r="I99" s="4">
        <v>0.02</v>
      </c>
      <c r="J99" s="4"/>
      <c r="K99" s="4">
        <v>0.02</v>
      </c>
      <c r="L99" s="4">
        <v>0.08</v>
      </c>
      <c r="M99" s="4">
        <v>0.33</v>
      </c>
      <c r="N99" s="4">
        <v>4</v>
      </c>
      <c r="O99" s="4">
        <v>21.67</v>
      </c>
      <c r="P99" s="4">
        <v>48.02</v>
      </c>
    </row>
    <row r="100" spans="1:16" x14ac:dyDescent="0.25">
      <c r="A100" s="3">
        <v>4</v>
      </c>
      <c r="B100" s="3" t="s">
        <v>157</v>
      </c>
      <c r="C100" s="3" t="s">
        <v>49</v>
      </c>
      <c r="D100" s="3"/>
      <c r="E100" s="3" t="s">
        <v>49</v>
      </c>
      <c r="F100" s="3" t="s">
        <v>50</v>
      </c>
      <c r="G100" s="3" t="s">
        <v>161</v>
      </c>
      <c r="H100" s="4">
        <v>3.5</v>
      </c>
      <c r="I100" s="4">
        <v>0.01</v>
      </c>
      <c r="J100" s="4"/>
      <c r="K100" s="4">
        <v>0.01</v>
      </c>
      <c r="L100" s="4">
        <v>7.0000000000000007E-2</v>
      </c>
      <c r="M100" s="4">
        <v>0.28999999999999998</v>
      </c>
      <c r="N100" s="4">
        <v>3.5</v>
      </c>
      <c r="O100" s="4">
        <v>18.77</v>
      </c>
      <c r="P100" s="4">
        <v>41.06</v>
      </c>
    </row>
    <row r="101" spans="1:16" x14ac:dyDescent="0.25">
      <c r="A101" s="3">
        <v>5</v>
      </c>
      <c r="B101" s="3" t="s">
        <v>157</v>
      </c>
      <c r="C101" s="3" t="s">
        <v>49</v>
      </c>
      <c r="D101" s="3"/>
      <c r="E101" s="3" t="s">
        <v>49</v>
      </c>
      <c r="F101" s="3" t="s">
        <v>50</v>
      </c>
      <c r="G101" s="3" t="s">
        <v>162</v>
      </c>
      <c r="H101" s="4">
        <v>3</v>
      </c>
      <c r="I101" s="4">
        <v>0.01</v>
      </c>
      <c r="J101" s="4"/>
      <c r="K101" s="4">
        <v>0.01</v>
      </c>
      <c r="L101" s="4">
        <v>0.06</v>
      </c>
      <c r="M101" s="4">
        <v>0.25</v>
      </c>
      <c r="N101" s="4">
        <v>3</v>
      </c>
      <c r="O101" s="4">
        <v>15.93</v>
      </c>
      <c r="P101" s="4">
        <v>34.39</v>
      </c>
    </row>
    <row r="102" spans="1:16" x14ac:dyDescent="0.25">
      <c r="A102" s="3">
        <v>6</v>
      </c>
      <c r="B102" s="3" t="s">
        <v>157</v>
      </c>
      <c r="C102" s="3" t="s">
        <v>49</v>
      </c>
      <c r="D102" s="3"/>
      <c r="E102" s="3" t="s">
        <v>49</v>
      </c>
      <c r="F102" s="3" t="s">
        <v>50</v>
      </c>
      <c r="G102" s="3" t="s">
        <v>163</v>
      </c>
      <c r="H102" s="4">
        <v>1.5</v>
      </c>
      <c r="I102" s="4">
        <v>0.01</v>
      </c>
      <c r="J102" s="4"/>
      <c r="K102" s="4">
        <v>0.01</v>
      </c>
      <c r="L102" s="4">
        <v>0.03</v>
      </c>
      <c r="M102" s="4">
        <v>0.12</v>
      </c>
      <c r="N102" s="4">
        <v>1.5</v>
      </c>
      <c r="O102" s="4">
        <v>7.73</v>
      </c>
      <c r="P102" s="4">
        <v>16.05</v>
      </c>
    </row>
    <row r="103" spans="1:16" x14ac:dyDescent="0.25">
      <c r="A103" s="3">
        <v>7</v>
      </c>
      <c r="B103" s="3" t="s">
        <v>157</v>
      </c>
      <c r="C103" s="3" t="s">
        <v>49</v>
      </c>
      <c r="D103" s="3"/>
      <c r="E103" s="3" t="s">
        <v>49</v>
      </c>
      <c r="F103" s="3" t="s">
        <v>50</v>
      </c>
      <c r="G103" s="3" t="s">
        <v>164</v>
      </c>
      <c r="H103" s="4">
        <v>-5</v>
      </c>
      <c r="I103" s="4">
        <v>-0.02</v>
      </c>
      <c r="J103" s="4"/>
      <c r="K103" s="4">
        <v>-0.02</v>
      </c>
      <c r="L103" s="4">
        <v>-0.1</v>
      </c>
      <c r="M103" s="4">
        <v>-0.43</v>
      </c>
      <c r="N103" s="4">
        <v>-5</v>
      </c>
      <c r="O103" s="4">
        <v>-22.62</v>
      </c>
      <c r="P103" s="4">
        <v>-40.130000000000003</v>
      </c>
    </row>
    <row r="104" spans="1:16" x14ac:dyDescent="0.25">
      <c r="A104" s="3">
        <v>8</v>
      </c>
      <c r="B104" s="3" t="s">
        <v>157</v>
      </c>
      <c r="C104" s="3" t="s">
        <v>49</v>
      </c>
      <c r="D104" s="3"/>
      <c r="E104" s="3" t="s">
        <v>49</v>
      </c>
      <c r="F104" s="3" t="s">
        <v>50</v>
      </c>
      <c r="G104" s="3" t="s">
        <v>165</v>
      </c>
      <c r="H104" s="4">
        <v>-10</v>
      </c>
      <c r="I104" s="4">
        <v>-0.04</v>
      </c>
      <c r="J104" s="4"/>
      <c r="K104" s="4">
        <v>-0.04</v>
      </c>
      <c r="L104" s="4">
        <v>-0.2</v>
      </c>
      <c r="M104" s="4">
        <v>-0.87</v>
      </c>
      <c r="N104" s="4">
        <v>-10</v>
      </c>
      <c r="O104" s="4">
        <v>-40.950000000000003</v>
      </c>
      <c r="P104" s="4">
        <v>-65.13</v>
      </c>
    </row>
    <row r="105" spans="1:16" x14ac:dyDescent="0.25">
      <c r="A105" s="3">
        <v>9</v>
      </c>
      <c r="B105" s="3" t="s">
        <v>157</v>
      </c>
      <c r="C105" s="3" t="s">
        <v>49</v>
      </c>
      <c r="D105" s="3"/>
      <c r="E105" s="3" t="s">
        <v>49</v>
      </c>
      <c r="F105" s="3" t="s">
        <v>50</v>
      </c>
      <c r="G105" s="3" t="s">
        <v>166</v>
      </c>
      <c r="H105" s="4">
        <v>-15</v>
      </c>
      <c r="I105" s="4">
        <v>-0.06</v>
      </c>
      <c r="J105" s="4"/>
      <c r="K105" s="4">
        <v>-0.06</v>
      </c>
      <c r="L105" s="4">
        <v>-0.31</v>
      </c>
      <c r="M105" s="4">
        <v>-1.35</v>
      </c>
      <c r="N105" s="4">
        <v>-15</v>
      </c>
      <c r="O105" s="4">
        <v>-55.63</v>
      </c>
      <c r="P105" s="4">
        <v>-80.31</v>
      </c>
    </row>
    <row r="106" spans="1:16" x14ac:dyDescent="0.25">
      <c r="A106" s="3">
        <v>10</v>
      </c>
      <c r="B106" s="3" t="s">
        <v>157</v>
      </c>
      <c r="C106" s="3" t="s">
        <v>49</v>
      </c>
      <c r="D106" s="3"/>
      <c r="E106" s="3" t="s">
        <v>49</v>
      </c>
      <c r="F106" s="3" t="s">
        <v>50</v>
      </c>
      <c r="G106" s="3" t="s">
        <v>167</v>
      </c>
      <c r="H106" s="4">
        <v>-50</v>
      </c>
      <c r="I106" s="4">
        <v>-0.27</v>
      </c>
      <c r="J106" s="4"/>
      <c r="K106" s="4">
        <v>-0.27</v>
      </c>
      <c r="L106" s="4">
        <v>-1.32</v>
      </c>
      <c r="M106" s="4">
        <v>-5.61</v>
      </c>
      <c r="N106" s="4">
        <v>-50</v>
      </c>
      <c r="O106" s="4">
        <v>-96.88</v>
      </c>
      <c r="P106" s="4">
        <v>-99.9</v>
      </c>
    </row>
    <row r="107" spans="1:16" x14ac:dyDescent="0.25">
      <c r="A107" s="3">
        <v>11</v>
      </c>
      <c r="B107" s="3" t="s">
        <v>157</v>
      </c>
      <c r="C107" s="3" t="s">
        <v>49</v>
      </c>
      <c r="D107" s="3"/>
      <c r="E107" s="3" t="s">
        <v>49</v>
      </c>
      <c r="F107" s="3" t="s">
        <v>81</v>
      </c>
      <c r="G107" s="3" t="s">
        <v>168</v>
      </c>
      <c r="H107" s="4">
        <v>4.32</v>
      </c>
      <c r="I107" s="4">
        <v>0.02</v>
      </c>
      <c r="J107" s="4"/>
      <c r="K107" s="4">
        <v>0.02</v>
      </c>
      <c r="L107" s="4">
        <v>0.08</v>
      </c>
      <c r="M107" s="4">
        <v>0.35</v>
      </c>
      <c r="N107" s="4">
        <v>4.32</v>
      </c>
      <c r="O107" s="4">
        <v>23.55</v>
      </c>
      <c r="P107" s="4">
        <v>52.64</v>
      </c>
    </row>
    <row r="108" spans="1:16" x14ac:dyDescent="0.25">
      <c r="A108" s="3">
        <v>1</v>
      </c>
      <c r="B108" s="3" t="s">
        <v>169</v>
      </c>
      <c r="C108" s="3" t="s">
        <v>139</v>
      </c>
      <c r="D108" s="3"/>
      <c r="E108" s="3" t="s">
        <v>139</v>
      </c>
      <c r="F108" s="3" t="s">
        <v>50</v>
      </c>
      <c r="G108" s="3" t="s">
        <v>170</v>
      </c>
      <c r="H108" s="4">
        <v>-4.55</v>
      </c>
      <c r="I108" s="4"/>
      <c r="J108" s="4">
        <v>-0.46</v>
      </c>
      <c r="K108" s="4">
        <v>-0.91</v>
      </c>
      <c r="L108" s="4">
        <v>-5.46</v>
      </c>
      <c r="M108" s="4">
        <v>-23.66</v>
      </c>
      <c r="N108" s="4">
        <v>-284.38</v>
      </c>
      <c r="O108" s="4">
        <v>-1421.88</v>
      </c>
      <c r="P108" s="4">
        <v>-2843.75</v>
      </c>
    </row>
    <row r="109" spans="1:16" x14ac:dyDescent="0.25">
      <c r="A109" s="3">
        <v>2</v>
      </c>
      <c r="B109" s="3" t="s">
        <v>169</v>
      </c>
      <c r="C109" s="3" t="s">
        <v>139</v>
      </c>
      <c r="D109" s="3"/>
      <c r="E109" s="3" t="s">
        <v>139</v>
      </c>
      <c r="F109" s="3" t="s">
        <v>50</v>
      </c>
      <c r="G109" s="3" t="s">
        <v>171</v>
      </c>
      <c r="H109" s="4">
        <v>-4.55</v>
      </c>
      <c r="I109" s="4"/>
      <c r="J109" s="4">
        <v>-0.46</v>
      </c>
      <c r="K109" s="4">
        <v>-0.91</v>
      </c>
      <c r="L109" s="4">
        <v>-5.46</v>
      </c>
      <c r="M109" s="4">
        <v>-23.66</v>
      </c>
      <c r="N109" s="4">
        <v>-284.38</v>
      </c>
      <c r="O109" s="4">
        <v>-1421.88</v>
      </c>
      <c r="P109" s="4">
        <v>-2843.75</v>
      </c>
    </row>
    <row r="110" spans="1:16" x14ac:dyDescent="0.25">
      <c r="A110" s="3">
        <v>3</v>
      </c>
      <c r="B110" s="3" t="s">
        <v>169</v>
      </c>
      <c r="C110" s="3" t="s">
        <v>139</v>
      </c>
      <c r="D110" s="3"/>
      <c r="E110" s="3" t="s">
        <v>139</v>
      </c>
      <c r="F110" s="3" t="s">
        <v>50</v>
      </c>
      <c r="G110" s="3" t="s">
        <v>172</v>
      </c>
      <c r="H110" s="4">
        <v>-4.55</v>
      </c>
      <c r="I110" s="4"/>
      <c r="J110" s="4">
        <v>-0.46</v>
      </c>
      <c r="K110" s="4">
        <v>-0.91</v>
      </c>
      <c r="L110" s="4">
        <v>-5.46</v>
      </c>
      <c r="M110" s="4">
        <v>-23.66</v>
      </c>
      <c r="N110" s="4">
        <v>-284.38</v>
      </c>
      <c r="O110" s="4">
        <v>-1421.88</v>
      </c>
      <c r="P110" s="4">
        <v>-2843.75</v>
      </c>
    </row>
    <row r="111" spans="1:16" x14ac:dyDescent="0.25">
      <c r="A111" s="3">
        <v>4</v>
      </c>
      <c r="B111" s="3" t="s">
        <v>169</v>
      </c>
      <c r="C111" s="3" t="s">
        <v>139</v>
      </c>
      <c r="D111" s="3"/>
      <c r="E111" s="3" t="s">
        <v>139</v>
      </c>
      <c r="F111" s="3" t="s">
        <v>50</v>
      </c>
      <c r="G111" s="3" t="s">
        <v>173</v>
      </c>
      <c r="H111" s="4">
        <v>-5</v>
      </c>
      <c r="I111" s="4"/>
      <c r="J111" s="4">
        <v>-0.5</v>
      </c>
      <c r="K111" s="4">
        <v>-1</v>
      </c>
      <c r="L111" s="4">
        <v>-6</v>
      </c>
      <c r="M111" s="4">
        <v>-26</v>
      </c>
      <c r="N111" s="4">
        <v>-312.5</v>
      </c>
      <c r="O111" s="4">
        <v>-1562.5</v>
      </c>
      <c r="P111" s="4">
        <v>-3125</v>
      </c>
    </row>
    <row r="112" spans="1:16" x14ac:dyDescent="0.25">
      <c r="A112" s="3">
        <v>5</v>
      </c>
      <c r="B112" s="3" t="s">
        <v>169</v>
      </c>
      <c r="C112" s="3" t="s">
        <v>139</v>
      </c>
      <c r="D112" s="3"/>
      <c r="E112" s="3" t="s">
        <v>139</v>
      </c>
      <c r="F112" s="3" t="s">
        <v>50</v>
      </c>
      <c r="G112" s="3" t="s">
        <v>174</v>
      </c>
      <c r="H112" s="4">
        <v>-6.5</v>
      </c>
      <c r="I112" s="4"/>
      <c r="J112" s="4">
        <v>-0.65</v>
      </c>
      <c r="K112" s="4">
        <v>-1.3</v>
      </c>
      <c r="L112" s="4">
        <v>-7.8</v>
      </c>
      <c r="M112" s="4">
        <v>-33.799999999999997</v>
      </c>
      <c r="N112" s="4">
        <v>-406.25</v>
      </c>
      <c r="O112" s="4">
        <v>-2031.25</v>
      </c>
      <c r="P112" s="4">
        <v>-4062.5</v>
      </c>
    </row>
    <row r="113" spans="1:16" x14ac:dyDescent="0.25">
      <c r="A113" s="3">
        <v>6</v>
      </c>
      <c r="B113" s="3" t="s">
        <v>169</v>
      </c>
      <c r="C113" s="3" t="s">
        <v>139</v>
      </c>
      <c r="D113" s="3"/>
      <c r="E113" s="3" t="s">
        <v>139</v>
      </c>
      <c r="F113" s="3" t="s">
        <v>50</v>
      </c>
      <c r="G113" s="3" t="s">
        <v>175</v>
      </c>
      <c r="H113" s="4">
        <v>-7</v>
      </c>
      <c r="I113" s="4"/>
      <c r="J113" s="4">
        <v>-0.7</v>
      </c>
      <c r="K113" s="4">
        <v>-1.4</v>
      </c>
      <c r="L113" s="4">
        <v>-8.4</v>
      </c>
      <c r="M113" s="4">
        <v>-36.4</v>
      </c>
      <c r="N113" s="4">
        <v>-437.5</v>
      </c>
      <c r="O113" s="4">
        <v>-2187.5</v>
      </c>
      <c r="P113" s="4">
        <v>-4375</v>
      </c>
    </row>
    <row r="114" spans="1:16" x14ac:dyDescent="0.25">
      <c r="A114" s="3">
        <v>7</v>
      </c>
      <c r="B114" s="3" t="s">
        <v>169</v>
      </c>
      <c r="C114" s="3" t="s">
        <v>139</v>
      </c>
      <c r="D114" s="3"/>
      <c r="E114" s="3" t="s">
        <v>139</v>
      </c>
      <c r="F114" s="3" t="s">
        <v>50</v>
      </c>
      <c r="G114" s="3" t="s">
        <v>176</v>
      </c>
      <c r="H114" s="4">
        <v>-8</v>
      </c>
      <c r="I114" s="4"/>
      <c r="J114" s="4">
        <v>-0.8</v>
      </c>
      <c r="K114" s="4">
        <v>-1.6</v>
      </c>
      <c r="L114" s="4">
        <v>-9.6</v>
      </c>
      <c r="M114" s="4">
        <v>-41.6</v>
      </c>
      <c r="N114" s="4">
        <v>-500</v>
      </c>
      <c r="O114" s="4">
        <v>-2500</v>
      </c>
      <c r="P114" s="4">
        <v>-5000</v>
      </c>
    </row>
    <row r="115" spans="1:16" x14ac:dyDescent="0.25">
      <c r="A115" s="3">
        <v>8</v>
      </c>
      <c r="B115" s="3" t="s">
        <v>169</v>
      </c>
      <c r="C115" s="3" t="s">
        <v>139</v>
      </c>
      <c r="D115" s="3"/>
      <c r="E115" s="3" t="s">
        <v>139</v>
      </c>
      <c r="F115" s="3" t="s">
        <v>50</v>
      </c>
      <c r="G115" s="3" t="s">
        <v>177</v>
      </c>
      <c r="H115" s="4">
        <v>-10</v>
      </c>
      <c r="I115" s="4"/>
      <c r="J115" s="4">
        <v>-1</v>
      </c>
      <c r="K115" s="4">
        <v>-2</v>
      </c>
      <c r="L115" s="4">
        <v>-12</v>
      </c>
      <c r="M115" s="4">
        <v>-52</v>
      </c>
      <c r="N115" s="4">
        <v>-625</v>
      </c>
      <c r="O115" s="4">
        <v>-3125</v>
      </c>
      <c r="P115" s="4">
        <v>-6250</v>
      </c>
    </row>
    <row r="116" spans="1:16" x14ac:dyDescent="0.25">
      <c r="A116" s="3">
        <v>9</v>
      </c>
      <c r="B116" s="3" t="s">
        <v>169</v>
      </c>
      <c r="C116" s="3" t="s">
        <v>139</v>
      </c>
      <c r="D116" s="3"/>
      <c r="E116" s="3" t="s">
        <v>139</v>
      </c>
      <c r="F116" s="3" t="s">
        <v>50</v>
      </c>
      <c r="G116" s="3" t="s">
        <v>178</v>
      </c>
      <c r="H116" s="4">
        <v>-12</v>
      </c>
      <c r="I116" s="4"/>
      <c r="J116" s="4">
        <v>-1.2</v>
      </c>
      <c r="K116" s="4">
        <v>-2.4</v>
      </c>
      <c r="L116" s="4">
        <v>-14.4</v>
      </c>
      <c r="M116" s="4">
        <v>-62.4</v>
      </c>
      <c r="N116" s="4">
        <v>-750</v>
      </c>
      <c r="O116" s="4">
        <v>-3750</v>
      </c>
      <c r="P116" s="4">
        <v>-7500</v>
      </c>
    </row>
    <row r="117" spans="1:16" x14ac:dyDescent="0.25">
      <c r="A117" s="3">
        <v>10</v>
      </c>
      <c r="B117" s="3" t="s">
        <v>169</v>
      </c>
      <c r="C117" s="3" t="s">
        <v>139</v>
      </c>
      <c r="D117" s="3"/>
      <c r="E117" s="3" t="s">
        <v>139</v>
      </c>
      <c r="F117" s="3" t="s">
        <v>50</v>
      </c>
      <c r="G117" s="3" t="s">
        <v>179</v>
      </c>
      <c r="H117" s="4">
        <v>-12.5</v>
      </c>
      <c r="I117" s="4"/>
      <c r="J117" s="4">
        <v>-1.25</v>
      </c>
      <c r="K117" s="4">
        <v>-2.5</v>
      </c>
      <c r="L117" s="4">
        <v>-15</v>
      </c>
      <c r="M117" s="4">
        <v>-65</v>
      </c>
      <c r="N117" s="4">
        <v>-781.25</v>
      </c>
      <c r="O117" s="4">
        <v>-3906.25</v>
      </c>
      <c r="P117" s="4">
        <v>-7812.5</v>
      </c>
    </row>
    <row r="118" spans="1:16" x14ac:dyDescent="0.25">
      <c r="A118" s="3">
        <v>11</v>
      </c>
      <c r="B118" s="3" t="s">
        <v>169</v>
      </c>
      <c r="C118" s="3" t="s">
        <v>139</v>
      </c>
      <c r="D118" s="3"/>
      <c r="E118" s="3" t="s">
        <v>139</v>
      </c>
      <c r="F118" s="3" t="s">
        <v>50</v>
      </c>
      <c r="G118" s="3" t="s">
        <v>180</v>
      </c>
      <c r="H118" s="4">
        <v>-15</v>
      </c>
      <c r="I118" s="4"/>
      <c r="J118" s="4">
        <v>-1.5</v>
      </c>
      <c r="K118" s="4">
        <v>-3</v>
      </c>
      <c r="L118" s="4">
        <v>-18</v>
      </c>
      <c r="M118" s="4">
        <v>-78</v>
      </c>
      <c r="N118" s="4">
        <v>-937.5</v>
      </c>
      <c r="O118" s="4">
        <v>-4687.5</v>
      </c>
      <c r="P118" s="4">
        <v>-9375</v>
      </c>
    </row>
    <row r="119" spans="1:16" x14ac:dyDescent="0.25">
      <c r="A119" s="3">
        <v>12</v>
      </c>
      <c r="B119" s="3" t="s">
        <v>169</v>
      </c>
      <c r="C119" s="3" t="s">
        <v>139</v>
      </c>
      <c r="D119" s="3"/>
      <c r="E119" s="3" t="s">
        <v>139</v>
      </c>
      <c r="F119" s="3" t="s">
        <v>50</v>
      </c>
      <c r="G119" s="3" t="s">
        <v>181</v>
      </c>
      <c r="H119" s="4">
        <v>-15</v>
      </c>
      <c r="I119" s="4"/>
      <c r="J119" s="4">
        <v>-1.5</v>
      </c>
      <c r="K119" s="4">
        <v>-3</v>
      </c>
      <c r="L119" s="4">
        <v>-18</v>
      </c>
      <c r="M119" s="4">
        <v>-78</v>
      </c>
      <c r="N119" s="4">
        <v>-937.5</v>
      </c>
      <c r="O119" s="4">
        <v>-4687.5</v>
      </c>
      <c r="P119" s="4">
        <v>-9375</v>
      </c>
    </row>
    <row r="120" spans="1:16" x14ac:dyDescent="0.25">
      <c r="A120" s="3">
        <v>13</v>
      </c>
      <c r="B120" s="3" t="s">
        <v>169</v>
      </c>
      <c r="C120" s="3" t="s">
        <v>139</v>
      </c>
      <c r="D120" s="3"/>
      <c r="E120" s="3" t="s">
        <v>139</v>
      </c>
      <c r="F120" s="3" t="s">
        <v>50</v>
      </c>
      <c r="G120" s="3" t="s">
        <v>182</v>
      </c>
      <c r="H120" s="4">
        <v>-18</v>
      </c>
      <c r="I120" s="4"/>
      <c r="J120" s="4">
        <v>-1.8</v>
      </c>
      <c r="K120" s="4">
        <v>-3.6</v>
      </c>
      <c r="L120" s="4">
        <v>-21.6</v>
      </c>
      <c r="M120" s="4">
        <v>-93.6</v>
      </c>
      <c r="N120" s="4">
        <v>-1125</v>
      </c>
      <c r="O120" s="4">
        <v>-5625</v>
      </c>
      <c r="P120" s="4">
        <v>-11250</v>
      </c>
    </row>
    <row r="121" spans="1:16" x14ac:dyDescent="0.25">
      <c r="A121" s="3">
        <v>14</v>
      </c>
      <c r="B121" s="3" t="s">
        <v>169</v>
      </c>
      <c r="C121" s="3" t="s">
        <v>139</v>
      </c>
      <c r="D121" s="3"/>
      <c r="E121" s="3" t="s">
        <v>139</v>
      </c>
      <c r="F121" s="3" t="s">
        <v>50</v>
      </c>
      <c r="G121" s="3" t="s">
        <v>183</v>
      </c>
      <c r="H121" s="4">
        <v>-20</v>
      </c>
      <c r="I121" s="4"/>
      <c r="J121" s="4">
        <v>-2</v>
      </c>
      <c r="K121" s="4">
        <v>-4</v>
      </c>
      <c r="L121" s="4">
        <v>-24</v>
      </c>
      <c r="M121" s="4">
        <v>-104</v>
      </c>
      <c r="N121" s="4">
        <v>-1250</v>
      </c>
      <c r="O121" s="4">
        <v>-6250</v>
      </c>
      <c r="P121" s="4">
        <v>-12500</v>
      </c>
    </row>
    <row r="122" spans="1:16" x14ac:dyDescent="0.25">
      <c r="A122" s="3">
        <v>15</v>
      </c>
      <c r="B122" s="3" t="s">
        <v>169</v>
      </c>
      <c r="C122" s="3" t="s">
        <v>139</v>
      </c>
      <c r="D122" s="3"/>
      <c r="E122" s="3" t="s">
        <v>139</v>
      </c>
      <c r="F122" s="3" t="s">
        <v>50</v>
      </c>
      <c r="G122" s="3" t="s">
        <v>184</v>
      </c>
      <c r="H122" s="4">
        <v>-20</v>
      </c>
      <c r="I122" s="4"/>
      <c r="J122" s="4">
        <v>-2</v>
      </c>
      <c r="K122" s="4">
        <v>-4</v>
      </c>
      <c r="L122" s="4">
        <v>-24</v>
      </c>
      <c r="M122" s="4">
        <v>-104</v>
      </c>
      <c r="N122" s="4">
        <v>-1250</v>
      </c>
      <c r="O122" s="4">
        <v>-6250</v>
      </c>
      <c r="P122" s="4">
        <v>-12500</v>
      </c>
    </row>
    <row r="123" spans="1:16" x14ac:dyDescent="0.25">
      <c r="A123" s="3">
        <v>16</v>
      </c>
      <c r="B123" s="3" t="s">
        <v>169</v>
      </c>
      <c r="C123" s="3" t="s">
        <v>139</v>
      </c>
      <c r="D123" s="3"/>
      <c r="E123" s="3" t="s">
        <v>139</v>
      </c>
      <c r="F123" s="3" t="s">
        <v>50</v>
      </c>
      <c r="G123" s="3" t="s">
        <v>185</v>
      </c>
      <c r="H123" s="4">
        <v>-25</v>
      </c>
      <c r="I123" s="4"/>
      <c r="J123" s="4">
        <v>-2.5</v>
      </c>
      <c r="K123" s="4">
        <v>-5</v>
      </c>
      <c r="L123" s="4">
        <v>-30</v>
      </c>
      <c r="M123" s="4">
        <v>-130</v>
      </c>
      <c r="N123" s="4">
        <v>-1562.5</v>
      </c>
      <c r="O123" s="4">
        <v>-7812.5</v>
      </c>
      <c r="P123" s="4">
        <v>-15625</v>
      </c>
    </row>
    <row r="124" spans="1:16" x14ac:dyDescent="0.25">
      <c r="A124" s="3">
        <v>17</v>
      </c>
      <c r="B124" s="3" t="s">
        <v>169</v>
      </c>
      <c r="C124" s="3" t="s">
        <v>139</v>
      </c>
      <c r="D124" s="3"/>
      <c r="E124" s="3" t="s">
        <v>139</v>
      </c>
      <c r="F124" s="3" t="s">
        <v>50</v>
      </c>
      <c r="G124" s="3" t="s">
        <v>186</v>
      </c>
      <c r="H124" s="4">
        <v>-30</v>
      </c>
      <c r="I124" s="4"/>
      <c r="J124" s="4">
        <v>-3</v>
      </c>
      <c r="K124" s="4">
        <v>-6</v>
      </c>
      <c r="L124" s="4">
        <v>-36</v>
      </c>
      <c r="M124" s="4">
        <v>-156</v>
      </c>
      <c r="N124" s="4">
        <v>-1875</v>
      </c>
      <c r="O124" s="4">
        <v>-9375</v>
      </c>
      <c r="P124" s="4">
        <v>-18750</v>
      </c>
    </row>
    <row r="125" spans="1:16" x14ac:dyDescent="0.25">
      <c r="A125" s="3">
        <v>18</v>
      </c>
      <c r="B125" s="3" t="s">
        <v>169</v>
      </c>
      <c r="C125" s="3" t="s">
        <v>139</v>
      </c>
      <c r="D125" s="3"/>
      <c r="E125" s="3" t="s">
        <v>139</v>
      </c>
      <c r="F125" s="3" t="s">
        <v>50</v>
      </c>
      <c r="G125" s="3" t="s">
        <v>187</v>
      </c>
      <c r="H125" s="4">
        <v>-35</v>
      </c>
      <c r="I125" s="4"/>
      <c r="J125" s="4">
        <v>-3.5</v>
      </c>
      <c r="K125" s="4">
        <v>-7</v>
      </c>
      <c r="L125" s="4">
        <v>-42</v>
      </c>
      <c r="M125" s="4">
        <v>-182</v>
      </c>
      <c r="N125" s="4">
        <v>-2187.5</v>
      </c>
      <c r="O125" s="4">
        <v>-10937.5</v>
      </c>
      <c r="P125" s="4">
        <v>-21875</v>
      </c>
    </row>
    <row r="126" spans="1:16" x14ac:dyDescent="0.25">
      <c r="A126" s="3">
        <v>1</v>
      </c>
      <c r="B126" s="3" t="s">
        <v>188</v>
      </c>
      <c r="C126" s="3" t="s">
        <v>139</v>
      </c>
      <c r="D126" s="3"/>
      <c r="E126" s="3" t="s">
        <v>139</v>
      </c>
      <c r="F126" s="3" t="s">
        <v>50</v>
      </c>
      <c r="G126" s="3" t="s">
        <v>189</v>
      </c>
      <c r="H126" s="4">
        <v>1</v>
      </c>
      <c r="I126" s="4"/>
      <c r="J126" s="4">
        <v>0.1</v>
      </c>
      <c r="K126" s="4">
        <v>0.2</v>
      </c>
      <c r="L126" s="4">
        <v>1.2</v>
      </c>
      <c r="M126" s="4">
        <v>5.2</v>
      </c>
      <c r="N126" s="4">
        <v>62.5</v>
      </c>
      <c r="O126" s="4">
        <v>312.5</v>
      </c>
      <c r="P126" s="4">
        <v>625</v>
      </c>
    </row>
    <row r="127" spans="1:16" x14ac:dyDescent="0.25">
      <c r="A127" s="3">
        <v>2</v>
      </c>
      <c r="B127" s="3" t="s">
        <v>188</v>
      </c>
      <c r="C127" s="3" t="s">
        <v>139</v>
      </c>
      <c r="D127" s="3"/>
      <c r="E127" s="3" t="s">
        <v>139</v>
      </c>
      <c r="F127" s="3" t="s">
        <v>50</v>
      </c>
      <c r="G127" s="3" t="s">
        <v>190</v>
      </c>
      <c r="H127" s="4">
        <v>-0.46</v>
      </c>
      <c r="I127" s="4"/>
      <c r="J127" s="4">
        <v>-0.05</v>
      </c>
      <c r="K127" s="4">
        <v>-0.09</v>
      </c>
      <c r="L127" s="4">
        <v>-0.55000000000000004</v>
      </c>
      <c r="M127" s="4">
        <v>-2.39</v>
      </c>
      <c r="N127" s="4">
        <v>-28.75</v>
      </c>
      <c r="O127" s="4">
        <v>-143.75</v>
      </c>
      <c r="P127" s="4">
        <v>-287.5</v>
      </c>
    </row>
    <row r="128" spans="1:16" x14ac:dyDescent="0.25">
      <c r="A128" s="3">
        <v>3</v>
      </c>
      <c r="B128" s="3" t="s">
        <v>188</v>
      </c>
      <c r="C128" s="3" t="s">
        <v>139</v>
      </c>
      <c r="D128" s="3"/>
      <c r="E128" s="3" t="s">
        <v>139</v>
      </c>
      <c r="F128" s="3" t="s">
        <v>50</v>
      </c>
      <c r="G128" s="3" t="s">
        <v>191</v>
      </c>
      <c r="H128" s="4">
        <v>-0.5</v>
      </c>
      <c r="I128" s="4"/>
      <c r="J128" s="4">
        <v>-0.05</v>
      </c>
      <c r="K128" s="4">
        <v>-0.1</v>
      </c>
      <c r="L128" s="4">
        <v>-0.6</v>
      </c>
      <c r="M128" s="4">
        <v>-2.6</v>
      </c>
      <c r="N128" s="4">
        <v>-31.25</v>
      </c>
      <c r="O128" s="4">
        <v>-156.25</v>
      </c>
      <c r="P128" s="4">
        <v>-312.5</v>
      </c>
    </row>
    <row r="129" spans="1:16" x14ac:dyDescent="0.25">
      <c r="A129" s="3">
        <v>4</v>
      </c>
      <c r="B129" s="3" t="s">
        <v>188</v>
      </c>
      <c r="C129" s="3" t="s">
        <v>139</v>
      </c>
      <c r="D129" s="3"/>
      <c r="E129" s="3" t="s">
        <v>139</v>
      </c>
      <c r="F129" s="3" t="s">
        <v>50</v>
      </c>
      <c r="G129" s="3" t="s">
        <v>192</v>
      </c>
      <c r="H129" s="4">
        <v>-1.06</v>
      </c>
      <c r="I129" s="4"/>
      <c r="J129" s="4">
        <v>-0.11</v>
      </c>
      <c r="K129" s="4">
        <v>-0.21</v>
      </c>
      <c r="L129" s="4">
        <v>-1.27</v>
      </c>
      <c r="M129" s="4">
        <v>-5.51</v>
      </c>
      <c r="N129" s="4">
        <v>-66.25</v>
      </c>
      <c r="O129" s="4">
        <v>-331.25</v>
      </c>
      <c r="P129" s="4">
        <v>-662.5</v>
      </c>
    </row>
    <row r="130" spans="1:16" x14ac:dyDescent="0.25">
      <c r="A130" s="3">
        <v>5</v>
      </c>
      <c r="B130" s="3" t="s">
        <v>188</v>
      </c>
      <c r="C130" s="3" t="s">
        <v>139</v>
      </c>
      <c r="D130" s="3"/>
      <c r="E130" s="3" t="s">
        <v>139</v>
      </c>
      <c r="F130" s="3" t="s">
        <v>50</v>
      </c>
      <c r="G130" s="3" t="s">
        <v>193</v>
      </c>
      <c r="H130" s="4">
        <v>-1.24</v>
      </c>
      <c r="I130" s="4"/>
      <c r="J130" s="4">
        <v>-0.12</v>
      </c>
      <c r="K130" s="4">
        <v>-0.25</v>
      </c>
      <c r="L130" s="4">
        <v>-1.49</v>
      </c>
      <c r="M130" s="4">
        <v>-6.45</v>
      </c>
      <c r="N130" s="4">
        <v>-77.5</v>
      </c>
      <c r="O130" s="4">
        <v>-387.5</v>
      </c>
      <c r="P130" s="4">
        <v>-775</v>
      </c>
    </row>
    <row r="131" spans="1:16" x14ac:dyDescent="0.25">
      <c r="A131" s="3">
        <v>6</v>
      </c>
      <c r="B131" s="3" t="s">
        <v>188</v>
      </c>
      <c r="C131" s="3" t="s">
        <v>139</v>
      </c>
      <c r="D131" s="3"/>
      <c r="E131" s="3" t="s">
        <v>139</v>
      </c>
      <c r="F131" s="3" t="s">
        <v>50</v>
      </c>
      <c r="G131" s="3" t="s">
        <v>194</v>
      </c>
      <c r="H131" s="4">
        <v>-1.36</v>
      </c>
      <c r="I131" s="4"/>
      <c r="J131" s="4">
        <v>-0.14000000000000001</v>
      </c>
      <c r="K131" s="4">
        <v>-0.27</v>
      </c>
      <c r="L131" s="4">
        <v>-1.63</v>
      </c>
      <c r="M131" s="4">
        <v>-7.07</v>
      </c>
      <c r="N131" s="4">
        <v>-85</v>
      </c>
      <c r="O131" s="4">
        <v>-425</v>
      </c>
      <c r="P131" s="4">
        <v>-850</v>
      </c>
    </row>
    <row r="132" spans="1:16" x14ac:dyDescent="0.25">
      <c r="A132" s="3">
        <v>7</v>
      </c>
      <c r="B132" s="3" t="s">
        <v>188</v>
      </c>
      <c r="C132" s="3" t="s">
        <v>139</v>
      </c>
      <c r="D132" s="3"/>
      <c r="E132" s="3" t="s">
        <v>139</v>
      </c>
      <c r="F132" s="3" t="s">
        <v>50</v>
      </c>
      <c r="G132" s="3" t="s">
        <v>195</v>
      </c>
      <c r="H132" s="4">
        <v>-1.41</v>
      </c>
      <c r="I132" s="4"/>
      <c r="J132" s="4">
        <v>-0.14000000000000001</v>
      </c>
      <c r="K132" s="4">
        <v>-0.28000000000000003</v>
      </c>
      <c r="L132" s="4">
        <v>-1.69</v>
      </c>
      <c r="M132" s="4">
        <v>-7.33</v>
      </c>
      <c r="N132" s="4">
        <v>-88.12</v>
      </c>
      <c r="O132" s="4">
        <v>-440.62</v>
      </c>
      <c r="P132" s="4">
        <v>-881.25</v>
      </c>
    </row>
    <row r="133" spans="1:16" x14ac:dyDescent="0.25">
      <c r="A133" s="3">
        <v>8</v>
      </c>
      <c r="B133" s="3" t="s">
        <v>188</v>
      </c>
      <c r="C133" s="3" t="s">
        <v>139</v>
      </c>
      <c r="D133" s="3"/>
      <c r="E133" s="3" t="s">
        <v>139</v>
      </c>
      <c r="F133" s="3" t="s">
        <v>50</v>
      </c>
      <c r="G133" s="3" t="s">
        <v>196</v>
      </c>
      <c r="H133" s="4">
        <v>-2</v>
      </c>
      <c r="I133" s="4"/>
      <c r="J133" s="4">
        <v>-0.2</v>
      </c>
      <c r="K133" s="4">
        <v>-0.4</v>
      </c>
      <c r="L133" s="4">
        <v>-2.4</v>
      </c>
      <c r="M133" s="4">
        <v>-10.4</v>
      </c>
      <c r="N133" s="4">
        <v>-125</v>
      </c>
      <c r="O133" s="4">
        <v>-625</v>
      </c>
      <c r="P133" s="4">
        <v>-1250</v>
      </c>
    </row>
    <row r="134" spans="1:16" x14ac:dyDescent="0.25">
      <c r="A134" s="3">
        <v>9</v>
      </c>
      <c r="B134" s="3" t="s">
        <v>188</v>
      </c>
      <c r="C134" s="3" t="s">
        <v>139</v>
      </c>
      <c r="D134" s="3"/>
      <c r="E134" s="3" t="s">
        <v>139</v>
      </c>
      <c r="F134" s="3" t="s">
        <v>50</v>
      </c>
      <c r="G134" s="3" t="s">
        <v>197</v>
      </c>
      <c r="H134" s="4">
        <v>-2.5</v>
      </c>
      <c r="I134" s="4"/>
      <c r="J134" s="4">
        <v>-0.25</v>
      </c>
      <c r="K134" s="4">
        <v>-0.5</v>
      </c>
      <c r="L134" s="4">
        <v>-3</v>
      </c>
      <c r="M134" s="4">
        <v>-13</v>
      </c>
      <c r="N134" s="4">
        <v>-156.25</v>
      </c>
      <c r="O134" s="4">
        <v>-781.25</v>
      </c>
      <c r="P134" s="4">
        <v>-1562.5</v>
      </c>
    </row>
    <row r="135" spans="1:16" x14ac:dyDescent="0.25">
      <c r="A135" s="3">
        <v>10</v>
      </c>
      <c r="B135" s="3" t="s">
        <v>188</v>
      </c>
      <c r="C135" s="3" t="s">
        <v>139</v>
      </c>
      <c r="D135" s="3"/>
      <c r="E135" s="3" t="s">
        <v>139</v>
      </c>
      <c r="F135" s="3" t="s">
        <v>50</v>
      </c>
      <c r="G135" s="3" t="s">
        <v>198</v>
      </c>
      <c r="H135" s="4">
        <v>-2.7</v>
      </c>
      <c r="I135" s="4"/>
      <c r="J135" s="4">
        <v>-0.27</v>
      </c>
      <c r="K135" s="4">
        <v>-0.54</v>
      </c>
      <c r="L135" s="4">
        <v>-3.24</v>
      </c>
      <c r="M135" s="4">
        <v>-14.04</v>
      </c>
      <c r="N135" s="4">
        <v>-168.75</v>
      </c>
      <c r="O135" s="4">
        <v>-843.75</v>
      </c>
      <c r="P135" s="4">
        <v>-1687.5</v>
      </c>
    </row>
    <row r="136" spans="1:16" x14ac:dyDescent="0.25">
      <c r="A136" s="3">
        <v>11</v>
      </c>
      <c r="B136" s="3" t="s">
        <v>188</v>
      </c>
      <c r="C136" s="3" t="s">
        <v>139</v>
      </c>
      <c r="D136" s="3"/>
      <c r="E136" s="3" t="s">
        <v>139</v>
      </c>
      <c r="F136" s="3" t="s">
        <v>50</v>
      </c>
      <c r="G136" s="3" t="s">
        <v>199</v>
      </c>
      <c r="H136" s="4">
        <v>-3.4</v>
      </c>
      <c r="I136" s="4"/>
      <c r="J136" s="4">
        <v>-0.34</v>
      </c>
      <c r="K136" s="4">
        <v>-0.68</v>
      </c>
      <c r="L136" s="4">
        <v>-4.08</v>
      </c>
      <c r="M136" s="4">
        <v>-17.68</v>
      </c>
      <c r="N136" s="4">
        <v>-212.5</v>
      </c>
      <c r="O136" s="4">
        <v>-1062.5</v>
      </c>
      <c r="P136" s="4">
        <v>-2125</v>
      </c>
    </row>
    <row r="137" spans="1:16" x14ac:dyDescent="0.25">
      <c r="A137" s="3">
        <v>12</v>
      </c>
      <c r="B137" s="3" t="s">
        <v>188</v>
      </c>
      <c r="C137" s="3" t="s">
        <v>139</v>
      </c>
      <c r="D137" s="3"/>
      <c r="E137" s="3" t="s">
        <v>139</v>
      </c>
      <c r="F137" s="3" t="s">
        <v>50</v>
      </c>
      <c r="G137" s="3" t="s">
        <v>200</v>
      </c>
      <c r="H137" s="4">
        <v>-3.5</v>
      </c>
      <c r="I137" s="4"/>
      <c r="J137" s="4">
        <v>-0.35</v>
      </c>
      <c r="K137" s="4">
        <v>-0.7</v>
      </c>
      <c r="L137" s="4">
        <v>-4.2</v>
      </c>
      <c r="M137" s="4">
        <v>-18.2</v>
      </c>
      <c r="N137" s="4">
        <v>-218.75</v>
      </c>
      <c r="O137" s="4">
        <v>-1093.75</v>
      </c>
      <c r="P137" s="4">
        <v>-2187.5</v>
      </c>
    </row>
    <row r="138" spans="1:16" x14ac:dyDescent="0.25">
      <c r="A138" s="3">
        <v>13</v>
      </c>
      <c r="B138" s="3" t="s">
        <v>188</v>
      </c>
      <c r="C138" s="3" t="s">
        <v>139</v>
      </c>
      <c r="D138" s="3"/>
      <c r="E138" s="3" t="s">
        <v>139</v>
      </c>
      <c r="F138" s="3" t="s">
        <v>50</v>
      </c>
      <c r="G138" s="3" t="s">
        <v>201</v>
      </c>
      <c r="H138" s="4">
        <v>-5</v>
      </c>
      <c r="I138" s="4"/>
      <c r="J138" s="4">
        <v>-0.5</v>
      </c>
      <c r="K138" s="4">
        <v>-1</v>
      </c>
      <c r="L138" s="4">
        <v>-6</v>
      </c>
      <c r="M138" s="4">
        <v>-26</v>
      </c>
      <c r="N138" s="4">
        <v>-312.5</v>
      </c>
      <c r="O138" s="4">
        <v>-1562.5</v>
      </c>
      <c r="P138" s="4">
        <v>-3125</v>
      </c>
    </row>
    <row r="139" spans="1:16" x14ac:dyDescent="0.25">
      <c r="A139" s="3">
        <v>14</v>
      </c>
      <c r="B139" s="3" t="s">
        <v>188</v>
      </c>
      <c r="C139" s="3" t="s">
        <v>139</v>
      </c>
      <c r="D139" s="3"/>
      <c r="E139" s="3" t="s">
        <v>139</v>
      </c>
      <c r="F139" s="3" t="s">
        <v>50</v>
      </c>
      <c r="G139" s="3" t="s">
        <v>202</v>
      </c>
      <c r="H139" s="4">
        <v>-5.2</v>
      </c>
      <c r="I139" s="4"/>
      <c r="J139" s="4">
        <v>-0.52</v>
      </c>
      <c r="K139" s="4">
        <v>-1.04</v>
      </c>
      <c r="L139" s="4">
        <v>-6.24</v>
      </c>
      <c r="M139" s="4">
        <v>-27.04</v>
      </c>
      <c r="N139" s="4">
        <v>-325</v>
      </c>
      <c r="O139" s="4">
        <v>-1625</v>
      </c>
      <c r="P139" s="4">
        <v>-3250</v>
      </c>
    </row>
    <row r="140" spans="1:16" x14ac:dyDescent="0.25">
      <c r="A140" s="3">
        <v>15</v>
      </c>
      <c r="B140" s="3" t="s">
        <v>188</v>
      </c>
      <c r="C140" s="3" t="s">
        <v>139</v>
      </c>
      <c r="D140" s="3"/>
      <c r="E140" s="3" t="s">
        <v>139</v>
      </c>
      <c r="F140" s="3" t="s">
        <v>50</v>
      </c>
      <c r="G140" s="3" t="s">
        <v>203</v>
      </c>
      <c r="H140" s="4">
        <v>-5.26</v>
      </c>
      <c r="I140" s="4"/>
      <c r="J140" s="4">
        <v>-0.53</v>
      </c>
      <c r="K140" s="4">
        <v>-1.05</v>
      </c>
      <c r="L140" s="4">
        <v>-6.31</v>
      </c>
      <c r="M140" s="4">
        <v>-27.35</v>
      </c>
      <c r="N140" s="4">
        <v>-328.75</v>
      </c>
      <c r="O140" s="4">
        <v>-1643.75</v>
      </c>
      <c r="P140" s="4">
        <v>-3287.5</v>
      </c>
    </row>
    <row r="141" spans="1:16" x14ac:dyDescent="0.25">
      <c r="A141" s="3">
        <v>16</v>
      </c>
      <c r="B141" s="3" t="s">
        <v>188</v>
      </c>
      <c r="C141" s="3" t="s">
        <v>139</v>
      </c>
      <c r="D141" s="3"/>
      <c r="E141" s="3" t="s">
        <v>139</v>
      </c>
      <c r="F141" s="3" t="s">
        <v>50</v>
      </c>
      <c r="G141" s="3" t="s">
        <v>204</v>
      </c>
      <c r="H141" s="4">
        <v>-8</v>
      </c>
      <c r="I141" s="4"/>
      <c r="J141" s="4">
        <v>-0.8</v>
      </c>
      <c r="K141" s="4">
        <v>-1.6</v>
      </c>
      <c r="L141" s="4">
        <v>-9.6</v>
      </c>
      <c r="M141" s="4">
        <v>-41.6</v>
      </c>
      <c r="N141" s="4">
        <v>-500</v>
      </c>
      <c r="O141" s="4">
        <v>-2500</v>
      </c>
      <c r="P141" s="4">
        <v>-5000</v>
      </c>
    </row>
    <row r="142" spans="1:16" x14ac:dyDescent="0.25">
      <c r="A142" s="3">
        <v>17</v>
      </c>
      <c r="B142" s="3" t="s">
        <v>188</v>
      </c>
      <c r="C142" s="3" t="s">
        <v>139</v>
      </c>
      <c r="D142" s="3"/>
      <c r="E142" s="3" t="s">
        <v>139</v>
      </c>
      <c r="F142" s="3" t="s">
        <v>50</v>
      </c>
      <c r="G142" s="3" t="s">
        <v>205</v>
      </c>
      <c r="H142" s="4">
        <v>-15</v>
      </c>
      <c r="I142" s="4"/>
      <c r="J142" s="4">
        <v>-1.5</v>
      </c>
      <c r="K142" s="4">
        <v>-3</v>
      </c>
      <c r="L142" s="4">
        <v>-18</v>
      </c>
      <c r="M142" s="4">
        <v>-78</v>
      </c>
      <c r="N142" s="4">
        <v>-937.5</v>
      </c>
      <c r="O142" s="4">
        <v>-4687.5</v>
      </c>
      <c r="P142" s="4">
        <v>-9375</v>
      </c>
    </row>
    <row r="143" spans="1:16" x14ac:dyDescent="0.25">
      <c r="A143" s="3">
        <v>18</v>
      </c>
      <c r="B143" s="3" t="s">
        <v>188</v>
      </c>
      <c r="C143" s="3" t="s">
        <v>139</v>
      </c>
      <c r="D143" s="3"/>
      <c r="E143" s="3" t="s">
        <v>139</v>
      </c>
      <c r="F143" s="3" t="s">
        <v>50</v>
      </c>
      <c r="G143" s="3" t="s">
        <v>206</v>
      </c>
      <c r="H143" s="4">
        <v>-16</v>
      </c>
      <c r="I143" s="4"/>
      <c r="J143" s="4">
        <v>-1.6</v>
      </c>
      <c r="K143" s="4">
        <v>-3.2</v>
      </c>
      <c r="L143" s="4">
        <v>-19.2</v>
      </c>
      <c r="M143" s="4">
        <v>-83.2</v>
      </c>
      <c r="N143" s="4">
        <v>-1000</v>
      </c>
      <c r="O143" s="4">
        <v>-5000</v>
      </c>
      <c r="P143" s="4">
        <v>-10000</v>
      </c>
    </row>
    <row r="144" spans="1:16" x14ac:dyDescent="0.25">
      <c r="A144" s="3">
        <v>19</v>
      </c>
      <c r="B144" s="3" t="s">
        <v>188</v>
      </c>
      <c r="C144" s="3" t="s">
        <v>139</v>
      </c>
      <c r="D144" s="3"/>
      <c r="E144" s="3" t="s">
        <v>139</v>
      </c>
      <c r="F144" s="3" t="s">
        <v>50</v>
      </c>
      <c r="G144" s="3" t="s">
        <v>207</v>
      </c>
      <c r="H144" s="4">
        <v>-28</v>
      </c>
      <c r="I144" s="4"/>
      <c r="J144" s="4">
        <v>-2.8</v>
      </c>
      <c r="K144" s="4">
        <v>-5.6</v>
      </c>
      <c r="L144" s="4">
        <v>-33.6</v>
      </c>
      <c r="M144" s="4">
        <v>-145.6</v>
      </c>
      <c r="N144" s="4">
        <v>-1750</v>
      </c>
      <c r="O144" s="4">
        <v>-8750</v>
      </c>
      <c r="P144" s="4">
        <v>-17500</v>
      </c>
    </row>
    <row r="145" spans="1:16" x14ac:dyDescent="0.25">
      <c r="A145" s="3">
        <v>20</v>
      </c>
      <c r="B145" s="3" t="s">
        <v>188</v>
      </c>
      <c r="C145" s="3" t="s">
        <v>139</v>
      </c>
      <c r="D145" s="3"/>
      <c r="E145" s="3" t="s">
        <v>139</v>
      </c>
      <c r="F145" s="3" t="s">
        <v>50</v>
      </c>
      <c r="G145" s="3" t="s">
        <v>208</v>
      </c>
      <c r="H145" s="4">
        <v>-35</v>
      </c>
      <c r="I145" s="4"/>
      <c r="J145" s="4">
        <v>-3.5</v>
      </c>
      <c r="K145" s="4">
        <v>-7</v>
      </c>
      <c r="L145" s="4">
        <v>-42</v>
      </c>
      <c r="M145" s="4">
        <v>-182</v>
      </c>
      <c r="N145" s="4">
        <v>-2187.5</v>
      </c>
      <c r="O145" s="4">
        <v>-10937.5</v>
      </c>
      <c r="P145" s="4">
        <v>-21875</v>
      </c>
    </row>
    <row r="146" spans="1:16" x14ac:dyDescent="0.25">
      <c r="A146" s="3">
        <v>21</v>
      </c>
      <c r="B146" s="3" t="s">
        <v>188</v>
      </c>
      <c r="C146" s="3" t="s">
        <v>139</v>
      </c>
      <c r="D146" s="3"/>
      <c r="E146" s="3" t="s">
        <v>139</v>
      </c>
      <c r="F146" s="3" t="s">
        <v>81</v>
      </c>
      <c r="G146" s="3" t="s">
        <v>209</v>
      </c>
      <c r="H146" s="4">
        <v>0.63</v>
      </c>
      <c r="I146" s="4"/>
      <c r="J146" s="4">
        <v>0.06</v>
      </c>
      <c r="K146" s="4">
        <v>0.13</v>
      </c>
      <c r="L146" s="4">
        <v>0.76</v>
      </c>
      <c r="M146" s="4">
        <v>3.28</v>
      </c>
      <c r="N146" s="4">
        <v>39.380000000000003</v>
      </c>
      <c r="O146" s="4">
        <v>196.88</v>
      </c>
      <c r="P146" s="4">
        <v>393.75</v>
      </c>
    </row>
    <row r="147" spans="1:16" x14ac:dyDescent="0.25">
      <c r="A147" s="3">
        <v>1</v>
      </c>
      <c r="B147" s="3" t="s">
        <v>210</v>
      </c>
      <c r="C147" s="3" t="s">
        <v>139</v>
      </c>
      <c r="D147" s="3"/>
      <c r="E147" s="3" t="s">
        <v>139</v>
      </c>
      <c r="F147" s="3" t="s">
        <v>50</v>
      </c>
      <c r="G147" s="3" t="s">
        <v>211</v>
      </c>
      <c r="H147" s="4">
        <v>8</v>
      </c>
      <c r="I147" s="4"/>
      <c r="J147" s="4">
        <v>0.8</v>
      </c>
      <c r="K147" s="4">
        <v>1.6</v>
      </c>
      <c r="L147" s="4">
        <v>9.6</v>
      </c>
      <c r="M147" s="4">
        <v>41.6</v>
      </c>
      <c r="N147" s="4">
        <v>500</v>
      </c>
      <c r="O147" s="4">
        <v>2500</v>
      </c>
      <c r="P147" s="4">
        <v>5000</v>
      </c>
    </row>
    <row r="148" spans="1:16" x14ac:dyDescent="0.25">
      <c r="A148" s="3">
        <v>2</v>
      </c>
      <c r="B148" s="3" t="s">
        <v>210</v>
      </c>
      <c r="C148" s="3" t="s">
        <v>139</v>
      </c>
      <c r="D148" s="3"/>
      <c r="E148" s="3" t="s">
        <v>139</v>
      </c>
      <c r="F148" s="3" t="s">
        <v>50</v>
      </c>
      <c r="G148" s="3" t="s">
        <v>212</v>
      </c>
      <c r="H148" s="4">
        <v>5</v>
      </c>
      <c r="I148" s="4"/>
      <c r="J148" s="4">
        <v>0.5</v>
      </c>
      <c r="K148" s="4">
        <v>1</v>
      </c>
      <c r="L148" s="4">
        <v>6</v>
      </c>
      <c r="M148" s="4">
        <v>26</v>
      </c>
      <c r="N148" s="4">
        <v>312.5</v>
      </c>
      <c r="O148" s="4">
        <v>1562.5</v>
      </c>
      <c r="P148" s="4">
        <v>3125</v>
      </c>
    </row>
    <row r="149" spans="1:16" x14ac:dyDescent="0.25">
      <c r="A149" s="3">
        <v>3</v>
      </c>
      <c r="B149" s="3" t="s">
        <v>210</v>
      </c>
      <c r="C149" s="3" t="s">
        <v>139</v>
      </c>
      <c r="D149" s="3"/>
      <c r="E149" s="3" t="s">
        <v>139</v>
      </c>
      <c r="F149" s="3" t="s">
        <v>50</v>
      </c>
      <c r="G149" s="3" t="s">
        <v>213</v>
      </c>
      <c r="H149" s="4">
        <v>5</v>
      </c>
      <c r="I149" s="4"/>
      <c r="J149" s="4">
        <v>0.5</v>
      </c>
      <c r="K149" s="4">
        <v>1</v>
      </c>
      <c r="L149" s="4">
        <v>6</v>
      </c>
      <c r="M149" s="4">
        <v>26</v>
      </c>
      <c r="N149" s="4">
        <v>312.5</v>
      </c>
      <c r="O149" s="4">
        <v>1562.5</v>
      </c>
      <c r="P149" s="4">
        <v>3125</v>
      </c>
    </row>
    <row r="150" spans="1:16" x14ac:dyDescent="0.25">
      <c r="A150" s="3">
        <v>4</v>
      </c>
      <c r="B150" s="3" t="s">
        <v>210</v>
      </c>
      <c r="C150" s="3" t="s">
        <v>139</v>
      </c>
      <c r="D150" s="3"/>
      <c r="E150" s="3" t="s">
        <v>139</v>
      </c>
      <c r="F150" s="3" t="s">
        <v>50</v>
      </c>
      <c r="G150" s="3" t="s">
        <v>214</v>
      </c>
      <c r="H150" s="4">
        <v>3</v>
      </c>
      <c r="I150" s="4"/>
      <c r="J150" s="4">
        <v>0.3</v>
      </c>
      <c r="K150" s="4">
        <v>0.6</v>
      </c>
      <c r="L150" s="4">
        <v>3.6</v>
      </c>
      <c r="M150" s="4">
        <v>15.6</v>
      </c>
      <c r="N150" s="4">
        <v>187.5</v>
      </c>
      <c r="O150" s="4">
        <v>937.5</v>
      </c>
      <c r="P150" s="4">
        <v>1875</v>
      </c>
    </row>
    <row r="151" spans="1:16" x14ac:dyDescent="0.25">
      <c r="A151" s="3">
        <v>5</v>
      </c>
      <c r="B151" s="3" t="s">
        <v>210</v>
      </c>
      <c r="C151" s="3" t="s">
        <v>139</v>
      </c>
      <c r="D151" s="3"/>
      <c r="E151" s="3" t="s">
        <v>139</v>
      </c>
      <c r="F151" s="3" t="s">
        <v>50</v>
      </c>
      <c r="G151" s="3" t="s">
        <v>215</v>
      </c>
      <c r="H151" s="4">
        <v>3</v>
      </c>
      <c r="I151" s="4"/>
      <c r="J151" s="4">
        <v>0.3</v>
      </c>
      <c r="K151" s="4">
        <v>0.6</v>
      </c>
      <c r="L151" s="4">
        <v>3.6</v>
      </c>
      <c r="M151" s="4">
        <v>15.6</v>
      </c>
      <c r="N151" s="4">
        <v>187.5</v>
      </c>
      <c r="O151" s="4">
        <v>937.5</v>
      </c>
      <c r="P151" s="4">
        <v>1875</v>
      </c>
    </row>
    <row r="152" spans="1:16" x14ac:dyDescent="0.25">
      <c r="A152" s="3">
        <v>6</v>
      </c>
      <c r="B152" s="3" t="s">
        <v>210</v>
      </c>
      <c r="C152" s="3" t="s">
        <v>139</v>
      </c>
      <c r="D152" s="3"/>
      <c r="E152" s="3" t="s">
        <v>139</v>
      </c>
      <c r="F152" s="3" t="s">
        <v>50</v>
      </c>
      <c r="G152" s="3" t="s">
        <v>216</v>
      </c>
      <c r="H152" s="4">
        <v>2</v>
      </c>
      <c r="I152" s="4"/>
      <c r="J152" s="4">
        <v>0.2</v>
      </c>
      <c r="K152" s="4">
        <v>0.4</v>
      </c>
      <c r="L152" s="4">
        <v>2.4</v>
      </c>
      <c r="M152" s="4">
        <v>10.4</v>
      </c>
      <c r="N152" s="4">
        <v>125</v>
      </c>
      <c r="O152" s="4">
        <v>625</v>
      </c>
      <c r="P152" s="4">
        <v>1250</v>
      </c>
    </row>
    <row r="153" spans="1:16" x14ac:dyDescent="0.25">
      <c r="A153" s="3">
        <v>7</v>
      </c>
      <c r="B153" s="3" t="s">
        <v>210</v>
      </c>
      <c r="C153" s="3" t="s">
        <v>139</v>
      </c>
      <c r="D153" s="3"/>
      <c r="E153" s="3" t="s">
        <v>139</v>
      </c>
      <c r="F153" s="3" t="s">
        <v>50</v>
      </c>
      <c r="G153" s="3" t="s">
        <v>217</v>
      </c>
      <c r="H153" s="4">
        <v>1.5</v>
      </c>
      <c r="I153" s="4"/>
      <c r="J153" s="4">
        <v>0.15</v>
      </c>
      <c r="K153" s="4">
        <v>0.3</v>
      </c>
      <c r="L153" s="4">
        <v>1.8</v>
      </c>
      <c r="M153" s="4">
        <v>7.8</v>
      </c>
      <c r="N153" s="4">
        <v>93.75</v>
      </c>
      <c r="O153" s="4">
        <v>468.75</v>
      </c>
      <c r="P153" s="4">
        <v>937.5</v>
      </c>
    </row>
    <row r="154" spans="1:16" x14ac:dyDescent="0.25">
      <c r="A154" s="3">
        <v>8</v>
      </c>
      <c r="B154" s="3" t="s">
        <v>210</v>
      </c>
      <c r="C154" s="3" t="s">
        <v>139</v>
      </c>
      <c r="D154" s="3"/>
      <c r="E154" s="3" t="s">
        <v>139</v>
      </c>
      <c r="F154" s="3" t="s">
        <v>50</v>
      </c>
      <c r="G154" s="3" t="s">
        <v>218</v>
      </c>
      <c r="H154" s="4">
        <v>-5</v>
      </c>
      <c r="I154" s="4"/>
      <c r="J154" s="4">
        <v>-0.5</v>
      </c>
      <c r="K154" s="4">
        <v>-1</v>
      </c>
      <c r="L154" s="4">
        <v>-6</v>
      </c>
      <c r="M154" s="4">
        <v>-26</v>
      </c>
      <c r="N154" s="4">
        <v>-312.5</v>
      </c>
      <c r="O154" s="4">
        <v>-1562.5</v>
      </c>
      <c r="P154" s="4">
        <v>-3125</v>
      </c>
    </row>
    <row r="155" spans="1:16" x14ac:dyDescent="0.25">
      <c r="A155" s="3">
        <v>9</v>
      </c>
      <c r="B155" s="3" t="s">
        <v>210</v>
      </c>
      <c r="C155" s="3" t="s">
        <v>139</v>
      </c>
      <c r="D155" s="3"/>
      <c r="E155" s="3" t="s">
        <v>139</v>
      </c>
      <c r="F155" s="3" t="s">
        <v>50</v>
      </c>
      <c r="G155" s="3" t="s">
        <v>219</v>
      </c>
      <c r="H155" s="4">
        <v>-8</v>
      </c>
      <c r="I155" s="4"/>
      <c r="J155" s="4">
        <v>-0.8</v>
      </c>
      <c r="K155" s="4">
        <v>-1.6</v>
      </c>
      <c r="L155" s="4">
        <v>-9.6</v>
      </c>
      <c r="M155" s="4">
        <v>-41.6</v>
      </c>
      <c r="N155" s="4">
        <v>-500</v>
      </c>
      <c r="O155" s="4">
        <v>-2500</v>
      </c>
      <c r="P155" s="4">
        <v>-5000</v>
      </c>
    </row>
    <row r="156" spans="1:16" x14ac:dyDescent="0.25">
      <c r="A156" s="3">
        <v>10</v>
      </c>
      <c r="B156" s="3" t="s">
        <v>210</v>
      </c>
      <c r="C156" s="3" t="s">
        <v>139</v>
      </c>
      <c r="D156" s="3"/>
      <c r="E156" s="3" t="s">
        <v>139</v>
      </c>
      <c r="F156" s="3" t="s">
        <v>50</v>
      </c>
      <c r="G156" s="3" t="s">
        <v>220</v>
      </c>
      <c r="H156" s="4">
        <v>-10</v>
      </c>
      <c r="I156" s="4"/>
      <c r="J156" s="4">
        <v>-1</v>
      </c>
      <c r="K156" s="4">
        <v>-2</v>
      </c>
      <c r="L156" s="4">
        <v>-12</v>
      </c>
      <c r="M156" s="4">
        <v>-52</v>
      </c>
      <c r="N156" s="4">
        <v>-625</v>
      </c>
      <c r="O156" s="4">
        <v>-3125</v>
      </c>
      <c r="P156" s="4">
        <v>-6250</v>
      </c>
    </row>
    <row r="157" spans="1:16" x14ac:dyDescent="0.25">
      <c r="A157" s="3">
        <v>11</v>
      </c>
      <c r="B157" s="3" t="s">
        <v>210</v>
      </c>
      <c r="C157" s="3" t="s">
        <v>139</v>
      </c>
      <c r="D157" s="3"/>
      <c r="E157" s="3" t="s">
        <v>139</v>
      </c>
      <c r="F157" s="3" t="s">
        <v>50</v>
      </c>
      <c r="G157" s="3" t="s">
        <v>221</v>
      </c>
      <c r="H157" s="4">
        <v>-12</v>
      </c>
      <c r="I157" s="4"/>
      <c r="J157" s="4">
        <v>-1.2</v>
      </c>
      <c r="K157" s="4">
        <v>-2.4</v>
      </c>
      <c r="L157" s="4">
        <v>-14.4</v>
      </c>
      <c r="M157" s="4">
        <v>-62.4</v>
      </c>
      <c r="N157" s="4">
        <v>-750</v>
      </c>
      <c r="O157" s="4">
        <v>-3750</v>
      </c>
      <c r="P157" s="4">
        <v>-7500</v>
      </c>
    </row>
    <row r="158" spans="1:16" x14ac:dyDescent="0.25">
      <c r="A158" s="3">
        <v>12</v>
      </c>
      <c r="B158" s="3" t="s">
        <v>210</v>
      </c>
      <c r="C158" s="3" t="s">
        <v>139</v>
      </c>
      <c r="D158" s="3"/>
      <c r="E158" s="3" t="s">
        <v>139</v>
      </c>
      <c r="F158" s="3" t="s">
        <v>50</v>
      </c>
      <c r="G158" s="3" t="s">
        <v>222</v>
      </c>
      <c r="H158" s="4">
        <v>-15</v>
      </c>
      <c r="I158" s="4"/>
      <c r="J158" s="4">
        <v>-1.5</v>
      </c>
      <c r="K158" s="4">
        <v>-3</v>
      </c>
      <c r="L158" s="4">
        <v>-18</v>
      </c>
      <c r="M158" s="4">
        <v>-78</v>
      </c>
      <c r="N158" s="4">
        <v>-937.5</v>
      </c>
      <c r="O158" s="4">
        <v>-4687.5</v>
      </c>
      <c r="P158" s="4">
        <v>-9375</v>
      </c>
    </row>
    <row r="159" spans="1:16" x14ac:dyDescent="0.25">
      <c r="A159" s="3">
        <v>13</v>
      </c>
      <c r="B159" s="3" t="s">
        <v>210</v>
      </c>
      <c r="C159" s="3" t="s">
        <v>139</v>
      </c>
      <c r="D159" s="3"/>
      <c r="E159" s="3" t="s">
        <v>139</v>
      </c>
      <c r="F159" s="3" t="s">
        <v>50</v>
      </c>
      <c r="G159" s="3" t="s">
        <v>223</v>
      </c>
      <c r="H159" s="4">
        <v>-20</v>
      </c>
      <c r="I159" s="4"/>
      <c r="J159" s="4">
        <v>-2</v>
      </c>
      <c r="K159" s="4">
        <v>-4</v>
      </c>
      <c r="L159" s="4">
        <v>-24</v>
      </c>
      <c r="M159" s="4">
        <v>-104</v>
      </c>
      <c r="N159" s="4">
        <v>-1250</v>
      </c>
      <c r="O159" s="4">
        <v>-6250</v>
      </c>
      <c r="P159" s="4">
        <v>-12500</v>
      </c>
    </row>
    <row r="160" spans="1:16" x14ac:dyDescent="0.25">
      <c r="A160" s="3">
        <v>14</v>
      </c>
      <c r="B160" s="3" t="s">
        <v>210</v>
      </c>
      <c r="C160" s="3" t="s">
        <v>139</v>
      </c>
      <c r="D160" s="3"/>
      <c r="E160" s="3" t="s">
        <v>139</v>
      </c>
      <c r="F160" s="3" t="s">
        <v>81</v>
      </c>
      <c r="G160" s="3" t="s">
        <v>224</v>
      </c>
      <c r="H160" s="4">
        <v>5.04</v>
      </c>
      <c r="I160" s="4"/>
      <c r="J160" s="4">
        <v>0.5</v>
      </c>
      <c r="K160" s="4">
        <v>1.01</v>
      </c>
      <c r="L160" s="4">
        <v>6.05</v>
      </c>
      <c r="M160" s="4">
        <v>26.21</v>
      </c>
      <c r="N160" s="4">
        <v>315</v>
      </c>
      <c r="O160" s="4">
        <v>1575</v>
      </c>
      <c r="P160" s="4">
        <v>3150</v>
      </c>
    </row>
    <row r="161" spans="1:16" x14ac:dyDescent="0.25">
      <c r="A161" s="3">
        <v>1</v>
      </c>
      <c r="B161" s="3" t="s">
        <v>225</v>
      </c>
      <c r="C161" s="3" t="s">
        <v>139</v>
      </c>
      <c r="D161" s="3"/>
      <c r="E161" s="3" t="s">
        <v>139</v>
      </c>
      <c r="F161" s="3" t="s">
        <v>50</v>
      </c>
      <c r="G161" s="3" t="s">
        <v>226</v>
      </c>
      <c r="H161" s="4">
        <v>-3</v>
      </c>
      <c r="I161" s="4"/>
      <c r="J161" s="4">
        <v>-0.3</v>
      </c>
      <c r="K161" s="4">
        <v>-0.6</v>
      </c>
      <c r="L161" s="4">
        <v>-3.6</v>
      </c>
      <c r="M161" s="4">
        <v>-15.6</v>
      </c>
      <c r="N161" s="4">
        <v>-187.5</v>
      </c>
      <c r="O161" s="4">
        <v>-937.5</v>
      </c>
      <c r="P161" s="4">
        <v>-1875</v>
      </c>
    </row>
    <row r="162" spans="1:16" x14ac:dyDescent="0.25">
      <c r="A162" s="3">
        <v>2</v>
      </c>
      <c r="B162" s="3" t="s">
        <v>225</v>
      </c>
      <c r="C162" s="3" t="s">
        <v>139</v>
      </c>
      <c r="D162" s="3"/>
      <c r="E162" s="3" t="s">
        <v>139</v>
      </c>
      <c r="F162" s="3" t="s">
        <v>50</v>
      </c>
      <c r="G162" s="3" t="s">
        <v>227</v>
      </c>
      <c r="H162" s="4">
        <v>-3</v>
      </c>
      <c r="I162" s="4"/>
      <c r="J162" s="4">
        <v>-0.3</v>
      </c>
      <c r="K162" s="4">
        <v>-0.6</v>
      </c>
      <c r="L162" s="4">
        <v>-3.6</v>
      </c>
      <c r="M162" s="4">
        <v>-15.6</v>
      </c>
      <c r="N162" s="4">
        <v>-187.5</v>
      </c>
      <c r="O162" s="4">
        <v>-937.5</v>
      </c>
      <c r="P162" s="4">
        <v>-1875</v>
      </c>
    </row>
    <row r="163" spans="1:16" x14ac:dyDescent="0.25">
      <c r="A163" s="3">
        <v>3</v>
      </c>
      <c r="B163" s="3" t="s">
        <v>225</v>
      </c>
      <c r="C163" s="3" t="s">
        <v>139</v>
      </c>
      <c r="D163" s="3"/>
      <c r="E163" s="3" t="s">
        <v>139</v>
      </c>
      <c r="F163" s="3" t="s">
        <v>50</v>
      </c>
      <c r="G163" s="3" t="s">
        <v>228</v>
      </c>
      <c r="H163" s="4">
        <v>-3.5</v>
      </c>
      <c r="I163" s="4"/>
      <c r="J163" s="4">
        <v>-0.35</v>
      </c>
      <c r="K163" s="4">
        <v>-0.7</v>
      </c>
      <c r="L163" s="4">
        <v>-4.2</v>
      </c>
      <c r="M163" s="4">
        <v>-18.2</v>
      </c>
      <c r="N163" s="4">
        <v>-218.75</v>
      </c>
      <c r="O163" s="4">
        <v>-1093.75</v>
      </c>
      <c r="P163" s="4">
        <v>-2187.5</v>
      </c>
    </row>
    <row r="164" spans="1:16" x14ac:dyDescent="0.25">
      <c r="A164" s="3">
        <v>4</v>
      </c>
      <c r="B164" s="3" t="s">
        <v>225</v>
      </c>
      <c r="C164" s="3" t="s">
        <v>139</v>
      </c>
      <c r="D164" s="3"/>
      <c r="E164" s="3" t="s">
        <v>139</v>
      </c>
      <c r="F164" s="3" t="s">
        <v>50</v>
      </c>
      <c r="G164" s="3" t="s">
        <v>229</v>
      </c>
      <c r="H164" s="4">
        <v>-4</v>
      </c>
      <c r="I164" s="4"/>
      <c r="J164" s="4">
        <v>-0.4</v>
      </c>
      <c r="K164" s="4">
        <v>-0.8</v>
      </c>
      <c r="L164" s="4">
        <v>-4.8</v>
      </c>
      <c r="M164" s="4">
        <v>-20.8</v>
      </c>
      <c r="N164" s="4">
        <v>-250</v>
      </c>
      <c r="O164" s="4">
        <v>-1250</v>
      </c>
      <c r="P164" s="4">
        <v>-2500</v>
      </c>
    </row>
    <row r="165" spans="1:16" x14ac:dyDescent="0.25">
      <c r="A165" s="3">
        <v>5</v>
      </c>
      <c r="B165" s="3" t="s">
        <v>225</v>
      </c>
      <c r="C165" s="3" t="s">
        <v>139</v>
      </c>
      <c r="D165" s="3"/>
      <c r="E165" s="3" t="s">
        <v>139</v>
      </c>
      <c r="F165" s="3" t="s">
        <v>50</v>
      </c>
      <c r="G165" s="3" t="s">
        <v>230</v>
      </c>
      <c r="H165" s="4">
        <v>-4</v>
      </c>
      <c r="I165" s="4"/>
      <c r="J165" s="4">
        <v>-0.4</v>
      </c>
      <c r="K165" s="4">
        <v>-0.8</v>
      </c>
      <c r="L165" s="4">
        <v>-4.8</v>
      </c>
      <c r="M165" s="4">
        <v>-20.8</v>
      </c>
      <c r="N165" s="4">
        <v>-250</v>
      </c>
      <c r="O165" s="4">
        <v>-1250</v>
      </c>
      <c r="P165" s="4">
        <v>-2500</v>
      </c>
    </row>
    <row r="166" spans="1:16" x14ac:dyDescent="0.25">
      <c r="A166" s="3">
        <v>6</v>
      </c>
      <c r="B166" s="3" t="s">
        <v>225</v>
      </c>
      <c r="C166" s="3" t="s">
        <v>139</v>
      </c>
      <c r="D166" s="3"/>
      <c r="E166" s="3" t="s">
        <v>139</v>
      </c>
      <c r="F166" s="3" t="s">
        <v>50</v>
      </c>
      <c r="G166" s="3" t="s">
        <v>231</v>
      </c>
      <c r="H166" s="4">
        <v>-4.5</v>
      </c>
      <c r="I166" s="4"/>
      <c r="J166" s="4">
        <v>-0.45</v>
      </c>
      <c r="K166" s="4">
        <v>-0.9</v>
      </c>
      <c r="L166" s="4">
        <v>-5.4</v>
      </c>
      <c r="M166" s="4">
        <v>-23.4</v>
      </c>
      <c r="N166" s="4">
        <v>-281.25</v>
      </c>
      <c r="O166" s="4">
        <v>-1406.25</v>
      </c>
      <c r="P166" s="4">
        <v>-2812.5</v>
      </c>
    </row>
    <row r="167" spans="1:16" x14ac:dyDescent="0.25">
      <c r="A167" s="3">
        <v>7</v>
      </c>
      <c r="B167" s="3" t="s">
        <v>225</v>
      </c>
      <c r="C167" s="3" t="s">
        <v>139</v>
      </c>
      <c r="D167" s="3"/>
      <c r="E167" s="3" t="s">
        <v>139</v>
      </c>
      <c r="F167" s="3" t="s">
        <v>50</v>
      </c>
      <c r="G167" s="3" t="s">
        <v>232</v>
      </c>
      <c r="H167" s="4">
        <v>-5</v>
      </c>
      <c r="I167" s="4"/>
      <c r="J167" s="4">
        <v>-0.5</v>
      </c>
      <c r="K167" s="4">
        <v>-1</v>
      </c>
      <c r="L167" s="4">
        <v>-6</v>
      </c>
      <c r="M167" s="4">
        <v>-26</v>
      </c>
      <c r="N167" s="4">
        <v>-312.5</v>
      </c>
      <c r="O167" s="4">
        <v>-1562.5</v>
      </c>
      <c r="P167" s="4">
        <v>-3125</v>
      </c>
    </row>
    <row r="168" spans="1:16" x14ac:dyDescent="0.25">
      <c r="A168" s="3">
        <v>8</v>
      </c>
      <c r="B168" s="3" t="s">
        <v>225</v>
      </c>
      <c r="C168" s="3" t="s">
        <v>139</v>
      </c>
      <c r="D168" s="3"/>
      <c r="E168" s="3" t="s">
        <v>139</v>
      </c>
      <c r="F168" s="3" t="s">
        <v>50</v>
      </c>
      <c r="G168" s="3" t="s">
        <v>233</v>
      </c>
      <c r="H168" s="4">
        <v>-5.5</v>
      </c>
      <c r="I168" s="4"/>
      <c r="J168" s="4">
        <v>-0.55000000000000004</v>
      </c>
      <c r="K168" s="4">
        <v>-1.1000000000000001</v>
      </c>
      <c r="L168" s="4">
        <v>-6.6</v>
      </c>
      <c r="M168" s="4">
        <v>-28.6</v>
      </c>
      <c r="N168" s="4">
        <v>-343.75</v>
      </c>
      <c r="O168" s="4">
        <v>-1718.75</v>
      </c>
      <c r="P168" s="4">
        <v>-3437.5</v>
      </c>
    </row>
    <row r="169" spans="1:16" x14ac:dyDescent="0.25">
      <c r="A169" s="3">
        <v>9</v>
      </c>
      <c r="B169" s="3" t="s">
        <v>225</v>
      </c>
      <c r="C169" s="3" t="s">
        <v>139</v>
      </c>
      <c r="D169" s="3"/>
      <c r="E169" s="3" t="s">
        <v>139</v>
      </c>
      <c r="F169" s="3" t="s">
        <v>50</v>
      </c>
      <c r="G169" s="3" t="s">
        <v>234</v>
      </c>
      <c r="H169" s="4">
        <v>-5.5</v>
      </c>
      <c r="I169" s="4"/>
      <c r="J169" s="4">
        <v>-0.55000000000000004</v>
      </c>
      <c r="K169" s="4">
        <v>-1.1000000000000001</v>
      </c>
      <c r="L169" s="4">
        <v>-6.6</v>
      </c>
      <c r="M169" s="4">
        <v>-28.6</v>
      </c>
      <c r="N169" s="4">
        <v>-343.75</v>
      </c>
      <c r="O169" s="4">
        <v>-1718.75</v>
      </c>
      <c r="P169" s="4">
        <v>-3437.5</v>
      </c>
    </row>
    <row r="170" spans="1:16" x14ac:dyDescent="0.25">
      <c r="A170" s="3">
        <v>10</v>
      </c>
      <c r="B170" s="3" t="s">
        <v>225</v>
      </c>
      <c r="C170" s="3" t="s">
        <v>139</v>
      </c>
      <c r="D170" s="3"/>
      <c r="E170" s="3" t="s">
        <v>139</v>
      </c>
      <c r="F170" s="3" t="s">
        <v>50</v>
      </c>
      <c r="G170" s="3" t="s">
        <v>235</v>
      </c>
      <c r="H170" s="4">
        <v>-6</v>
      </c>
      <c r="I170" s="4"/>
      <c r="J170" s="4">
        <v>-0.6</v>
      </c>
      <c r="K170" s="4">
        <v>-1.2</v>
      </c>
      <c r="L170" s="4">
        <v>-7.2</v>
      </c>
      <c r="M170" s="4">
        <v>-31.2</v>
      </c>
      <c r="N170" s="4">
        <v>-375</v>
      </c>
      <c r="O170" s="4">
        <v>-1875</v>
      </c>
      <c r="P170" s="4">
        <v>-3750</v>
      </c>
    </row>
    <row r="171" spans="1:16" x14ac:dyDescent="0.25">
      <c r="A171" s="3">
        <v>11</v>
      </c>
      <c r="B171" s="3" t="s">
        <v>225</v>
      </c>
      <c r="C171" s="3" t="s">
        <v>139</v>
      </c>
      <c r="D171" s="3"/>
      <c r="E171" s="3" t="s">
        <v>139</v>
      </c>
      <c r="F171" s="3" t="s">
        <v>50</v>
      </c>
      <c r="G171" s="3" t="s">
        <v>236</v>
      </c>
      <c r="H171" s="4">
        <v>-7</v>
      </c>
      <c r="I171" s="4"/>
      <c r="J171" s="4">
        <v>-0.7</v>
      </c>
      <c r="K171" s="4">
        <v>-1.4</v>
      </c>
      <c r="L171" s="4">
        <v>-8.4</v>
      </c>
      <c r="M171" s="4">
        <v>-36.4</v>
      </c>
      <c r="N171" s="4">
        <v>-437.5</v>
      </c>
      <c r="O171" s="4">
        <v>-2187.5</v>
      </c>
      <c r="P171" s="4">
        <v>-4375</v>
      </c>
    </row>
    <row r="172" spans="1:16" x14ac:dyDescent="0.25">
      <c r="A172" s="3">
        <v>12</v>
      </c>
      <c r="B172" s="3" t="s">
        <v>225</v>
      </c>
      <c r="C172" s="3" t="s">
        <v>139</v>
      </c>
      <c r="D172" s="3"/>
      <c r="E172" s="3" t="s">
        <v>139</v>
      </c>
      <c r="F172" s="3" t="s">
        <v>50</v>
      </c>
      <c r="G172" s="3" t="s">
        <v>237</v>
      </c>
      <c r="H172" s="4">
        <v>-10</v>
      </c>
      <c r="I172" s="4"/>
      <c r="J172" s="4">
        <v>-1</v>
      </c>
      <c r="K172" s="4">
        <v>-2</v>
      </c>
      <c r="L172" s="4">
        <v>-12</v>
      </c>
      <c r="M172" s="4">
        <v>-52</v>
      </c>
      <c r="N172" s="4">
        <v>-625</v>
      </c>
      <c r="O172" s="4">
        <v>-3125</v>
      </c>
      <c r="P172" s="4">
        <v>-6250</v>
      </c>
    </row>
    <row r="173" spans="1:16" x14ac:dyDescent="0.25">
      <c r="A173" s="3">
        <v>1</v>
      </c>
      <c r="B173" s="3" t="s">
        <v>238</v>
      </c>
      <c r="C173" s="3" t="s">
        <v>139</v>
      </c>
      <c r="D173" s="3"/>
      <c r="E173" s="3" t="s">
        <v>139</v>
      </c>
      <c r="F173" s="3" t="s">
        <v>50</v>
      </c>
      <c r="G173" s="3" t="s">
        <v>239</v>
      </c>
      <c r="H173" s="4">
        <v>-25</v>
      </c>
      <c r="I173" s="4"/>
      <c r="J173" s="4">
        <v>-2.5</v>
      </c>
      <c r="K173" s="4">
        <v>-5</v>
      </c>
      <c r="L173" s="4">
        <v>-30</v>
      </c>
      <c r="M173" s="4">
        <v>-130</v>
      </c>
      <c r="N173" s="4">
        <v>-1562.5</v>
      </c>
      <c r="O173" s="4">
        <v>-7812.5</v>
      </c>
      <c r="P173" s="4">
        <v>-15625</v>
      </c>
    </row>
    <row r="174" spans="1:16" x14ac:dyDescent="0.25">
      <c r="A174" s="3">
        <v>2</v>
      </c>
      <c r="B174" s="3" t="s">
        <v>238</v>
      </c>
      <c r="C174" s="3" t="s">
        <v>139</v>
      </c>
      <c r="D174" s="3"/>
      <c r="E174" s="3" t="s">
        <v>139</v>
      </c>
      <c r="F174" s="3" t="s">
        <v>50</v>
      </c>
      <c r="G174" s="3" t="s">
        <v>240</v>
      </c>
      <c r="H174" s="4">
        <v>-30</v>
      </c>
      <c r="I174" s="4"/>
      <c r="J174" s="4">
        <v>-3</v>
      </c>
      <c r="K174" s="4">
        <v>-6</v>
      </c>
      <c r="L174" s="4">
        <v>-36</v>
      </c>
      <c r="M174" s="4">
        <v>-156</v>
      </c>
      <c r="N174" s="4">
        <v>-1875</v>
      </c>
      <c r="O174" s="4">
        <v>-9375</v>
      </c>
      <c r="P174" s="4">
        <v>-18750</v>
      </c>
    </row>
    <row r="175" spans="1:16" x14ac:dyDescent="0.25">
      <c r="A175" s="3">
        <v>3</v>
      </c>
      <c r="B175" s="3" t="s">
        <v>238</v>
      </c>
      <c r="C175" s="3" t="s">
        <v>139</v>
      </c>
      <c r="D175" s="3"/>
      <c r="E175" s="3" t="s">
        <v>139</v>
      </c>
      <c r="F175" s="3" t="s">
        <v>50</v>
      </c>
      <c r="G175" s="3" t="s">
        <v>241</v>
      </c>
      <c r="H175" s="4">
        <v>-35</v>
      </c>
      <c r="I175" s="4"/>
      <c r="J175" s="4">
        <v>-3.5</v>
      </c>
      <c r="K175" s="4">
        <v>-7</v>
      </c>
      <c r="L175" s="4">
        <v>-42</v>
      </c>
      <c r="M175" s="4">
        <v>-182</v>
      </c>
      <c r="N175" s="4">
        <v>-2187.5</v>
      </c>
      <c r="O175" s="4">
        <v>-10937.5</v>
      </c>
      <c r="P175" s="4">
        <v>-21875</v>
      </c>
    </row>
    <row r="176" spans="1:16" x14ac:dyDescent="0.25">
      <c r="A176" s="3">
        <v>4</v>
      </c>
      <c r="B176" s="3" t="s">
        <v>238</v>
      </c>
      <c r="C176" s="3" t="s">
        <v>139</v>
      </c>
      <c r="D176" s="3"/>
      <c r="E176" s="3" t="s">
        <v>139</v>
      </c>
      <c r="F176" s="3" t="s">
        <v>50</v>
      </c>
      <c r="G176" s="3" t="s">
        <v>242</v>
      </c>
      <c r="H176" s="4">
        <v>-40</v>
      </c>
      <c r="I176" s="4"/>
      <c r="J176" s="4">
        <v>-4</v>
      </c>
      <c r="K176" s="4">
        <v>-8</v>
      </c>
      <c r="L176" s="4">
        <v>-48</v>
      </c>
      <c r="M176" s="4">
        <v>-208</v>
      </c>
      <c r="N176" s="4">
        <v>-2500</v>
      </c>
      <c r="O176" s="4">
        <v>-12500</v>
      </c>
      <c r="P176" s="4">
        <v>-25000</v>
      </c>
    </row>
    <row r="177" spans="1:16" x14ac:dyDescent="0.25">
      <c r="A177" s="3">
        <v>5</v>
      </c>
      <c r="B177" s="3" t="s">
        <v>238</v>
      </c>
      <c r="C177" s="3" t="s">
        <v>139</v>
      </c>
      <c r="D177" s="3"/>
      <c r="E177" s="3" t="s">
        <v>139</v>
      </c>
      <c r="F177" s="3" t="s">
        <v>50</v>
      </c>
      <c r="G177" s="3" t="s">
        <v>243</v>
      </c>
      <c r="H177" s="4">
        <v>-42</v>
      </c>
      <c r="I177" s="4"/>
      <c r="J177" s="4">
        <v>-4.2</v>
      </c>
      <c r="K177" s="4">
        <v>-8.4</v>
      </c>
      <c r="L177" s="4">
        <v>-50.4</v>
      </c>
      <c r="M177" s="4">
        <v>-218.4</v>
      </c>
      <c r="N177" s="4">
        <v>-2625</v>
      </c>
      <c r="O177" s="4">
        <v>-13125</v>
      </c>
      <c r="P177" s="4">
        <v>-26250</v>
      </c>
    </row>
    <row r="178" spans="1:16" x14ac:dyDescent="0.25">
      <c r="A178" s="3">
        <v>6</v>
      </c>
      <c r="B178" s="3" t="s">
        <v>238</v>
      </c>
      <c r="C178" s="3" t="s">
        <v>139</v>
      </c>
      <c r="D178" s="3"/>
      <c r="E178" s="3" t="s">
        <v>139</v>
      </c>
      <c r="F178" s="3" t="s">
        <v>50</v>
      </c>
      <c r="G178" s="3" t="s">
        <v>244</v>
      </c>
      <c r="H178" s="4">
        <v>-45</v>
      </c>
      <c r="I178" s="4"/>
      <c r="J178" s="4">
        <v>-4.5</v>
      </c>
      <c r="K178" s="4">
        <v>-9</v>
      </c>
      <c r="L178" s="4">
        <v>-54</v>
      </c>
      <c r="M178" s="4">
        <v>-234</v>
      </c>
      <c r="N178" s="4">
        <v>-2812.5</v>
      </c>
      <c r="O178" s="4">
        <v>-14062.5</v>
      </c>
      <c r="P178" s="4">
        <v>-28125</v>
      </c>
    </row>
    <row r="179" spans="1:16" x14ac:dyDescent="0.25">
      <c r="A179" s="3">
        <v>7</v>
      </c>
      <c r="B179" s="3" t="s">
        <v>238</v>
      </c>
      <c r="C179" s="3" t="s">
        <v>139</v>
      </c>
      <c r="D179" s="3"/>
      <c r="E179" s="3" t="s">
        <v>139</v>
      </c>
      <c r="F179" s="3" t="s">
        <v>50</v>
      </c>
      <c r="G179" s="3" t="s">
        <v>245</v>
      </c>
      <c r="H179" s="4">
        <v>-50</v>
      </c>
      <c r="I179" s="4"/>
      <c r="J179" s="4">
        <v>-5</v>
      </c>
      <c r="K179" s="4">
        <v>-10</v>
      </c>
      <c r="L179" s="4">
        <v>-60</v>
      </c>
      <c r="M179" s="4">
        <v>-260</v>
      </c>
      <c r="N179" s="4">
        <v>-3125</v>
      </c>
      <c r="O179" s="4">
        <v>-15625</v>
      </c>
      <c r="P179" s="4">
        <v>-31250</v>
      </c>
    </row>
    <row r="180" spans="1:16" x14ac:dyDescent="0.25">
      <c r="A180" s="3">
        <v>8</v>
      </c>
      <c r="B180" s="3" t="s">
        <v>238</v>
      </c>
      <c r="C180" s="3" t="s">
        <v>139</v>
      </c>
      <c r="D180" s="3"/>
      <c r="E180" s="3" t="s">
        <v>139</v>
      </c>
      <c r="F180" s="3" t="s">
        <v>50</v>
      </c>
      <c r="G180" s="3" t="s">
        <v>246</v>
      </c>
      <c r="H180" s="4">
        <v>-52</v>
      </c>
      <c r="I180" s="4"/>
      <c r="J180" s="4">
        <v>-5.2</v>
      </c>
      <c r="K180" s="4">
        <v>-10.4</v>
      </c>
      <c r="L180" s="4">
        <v>-62.4</v>
      </c>
      <c r="M180" s="4">
        <v>-270.39999999999998</v>
      </c>
      <c r="N180" s="4">
        <v>-3250</v>
      </c>
      <c r="O180" s="4">
        <v>-16250</v>
      </c>
      <c r="P180" s="4">
        <v>-32500</v>
      </c>
    </row>
    <row r="181" spans="1:16" x14ac:dyDescent="0.25">
      <c r="A181" s="3">
        <v>9</v>
      </c>
      <c r="B181" s="3" t="s">
        <v>238</v>
      </c>
      <c r="C181" s="3" t="s">
        <v>139</v>
      </c>
      <c r="D181" s="3"/>
      <c r="E181" s="3" t="s">
        <v>139</v>
      </c>
      <c r="F181" s="3" t="s">
        <v>50</v>
      </c>
      <c r="G181" s="3" t="s">
        <v>247</v>
      </c>
      <c r="H181" s="4">
        <v>-55</v>
      </c>
      <c r="I181" s="4"/>
      <c r="J181" s="4">
        <v>-5.5</v>
      </c>
      <c r="K181" s="4">
        <v>-11</v>
      </c>
      <c r="L181" s="4">
        <v>-66</v>
      </c>
      <c r="M181" s="4">
        <v>-286</v>
      </c>
      <c r="N181" s="4">
        <v>-3437.5</v>
      </c>
      <c r="O181" s="4">
        <v>-17187.5</v>
      </c>
      <c r="P181" s="4">
        <v>-34375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1"/>
  <sheetViews>
    <sheetView tabSelected="1" workbookViewId="0"/>
  </sheetViews>
  <sheetFormatPr defaultRowHeight="15" x14ac:dyDescent="0.25"/>
  <cols>
    <col min="1" max="1" width="8" customWidth="1"/>
    <col min="2" max="2" width="18" customWidth="1"/>
    <col min="3" max="3" width="16" customWidth="1"/>
    <col min="4" max="4" width="12" customWidth="1"/>
    <col min="5" max="5" width="10" customWidth="1"/>
    <col min="6" max="6" width="34" customWidth="1"/>
    <col min="7" max="8" width="12" customWidth="1"/>
    <col min="9" max="10" width="10" customWidth="1"/>
    <col min="11" max="11" width="11" customWidth="1"/>
    <col min="12" max="17" width="10" customWidth="1"/>
    <col min="18" max="18" width="12" customWidth="1"/>
    <col min="19" max="24" width="10" customWidth="1"/>
    <col min="25" max="25" width="42" customWidth="1"/>
    <col min="26" max="26" width="22" customWidth="1"/>
  </cols>
  <sheetData>
    <row r="1" spans="1:26" ht="34.15" customHeight="1" x14ac:dyDescent="0.25">
      <c r="A1" s="1" t="s">
        <v>32</v>
      </c>
      <c r="B1" s="1" t="s">
        <v>33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248</v>
      </c>
      <c r="H1" s="1" t="s">
        <v>249</v>
      </c>
      <c r="I1" s="1" t="s">
        <v>250</v>
      </c>
      <c r="J1" s="1" t="s">
        <v>21</v>
      </c>
      <c r="K1" s="1" t="s">
        <v>251</v>
      </c>
      <c r="L1" s="1" t="s">
        <v>252</v>
      </c>
      <c r="M1" s="1" t="s">
        <v>253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262</v>
      </c>
      <c r="W1" s="1" t="s">
        <v>263</v>
      </c>
      <c r="X1" s="1" t="s">
        <v>264</v>
      </c>
      <c r="Y1" s="1" t="s">
        <v>265</v>
      </c>
      <c r="Z1" s="1" t="s">
        <v>14</v>
      </c>
    </row>
    <row r="2" spans="1:26" ht="34.15" customHeight="1" x14ac:dyDescent="0.25">
      <c r="A2" s="3">
        <v>1</v>
      </c>
      <c r="B2" s="3" t="s">
        <v>48</v>
      </c>
      <c r="C2" s="3"/>
      <c r="D2" s="3" t="s">
        <v>49</v>
      </c>
      <c r="E2" s="3" t="s">
        <v>50</v>
      </c>
      <c r="F2" s="3" t="s">
        <v>51</v>
      </c>
      <c r="G2" s="4">
        <v>12.5</v>
      </c>
      <c r="H2" s="3" t="s">
        <v>266</v>
      </c>
      <c r="I2" s="4">
        <v>0.02</v>
      </c>
      <c r="J2" s="5">
        <v>1</v>
      </c>
      <c r="K2" s="4">
        <f>1</f>
        <v>1</v>
      </c>
      <c r="L2" s="4">
        <f t="shared" ref="L2:L33" si="0">I2</f>
        <v>0.02</v>
      </c>
      <c r="M2" s="4">
        <f t="shared" ref="M2:M33" si="1">I2*7</f>
        <v>0.14000000000000001</v>
      </c>
      <c r="N2" s="4">
        <f t="shared" ref="N2:N33" si="2">I2*30</f>
        <v>0.6</v>
      </c>
      <c r="O2" s="4">
        <f t="shared" ref="O2:O33" si="3">I2*365</f>
        <v>7.3</v>
      </c>
      <c r="P2" s="4">
        <f t="shared" ref="P2:P33" si="4">I2*1825</f>
        <v>36.5</v>
      </c>
      <c r="Q2" s="4">
        <f t="shared" ref="Q2:Q33" si="5">I2*3650</f>
        <v>73</v>
      </c>
      <c r="R2" s="5">
        <f t="shared" ref="R2:R33" si="6">IF(D2="Linear",K2*J2*(G2/100),IF(I2&gt;0,(1+((G2/100)*J2))^(1/(I2*365))-1,0))</f>
        <v>1.6265528966200149E-2</v>
      </c>
      <c r="S2" s="5">
        <f t="shared" ref="S2:S33" si="7">IF(D2="Linear",L2*J2*(G2/100),(1+((G2/100)*J2))^(1/365)-1)</f>
        <v>3.2274531944076479E-4</v>
      </c>
      <c r="T2" s="5">
        <f t="shared" ref="T2:T33" si="8">IF(D2="Linear",M2*J2*(G2/100),(1+((G2/100)*J2))^(7/365)-1)</f>
        <v>2.2614058684824467E-3</v>
      </c>
      <c r="U2" s="5">
        <f t="shared" ref="U2:U33" si="9">IF(D2="Linear",N2*J2*(G2/100),(1+((G2/100)*J2))^(30/365)-1)</f>
        <v>9.7278079480946911E-3</v>
      </c>
      <c r="V2" s="5">
        <f t="shared" ref="V2:V33" si="10">IF(D2="Linear",O2*J2*(G2/100),(1+((G2/100)*J2))-1)</f>
        <v>0.125</v>
      </c>
      <c r="W2" s="5">
        <f t="shared" ref="W2:W33" si="11">IF(D2="Linear",P2*J2*(G2/100),(1+((G2/100)*J2))^5-1)</f>
        <v>0.802032470703125</v>
      </c>
      <c r="X2" s="5">
        <f t="shared" ref="X2:X33" si="12">IF(D2="Linear",Q2*J2*(G2/100),(1+((G2/100)*J2))^10-1)</f>
        <v>2.2473210254684091</v>
      </c>
      <c r="Y2" s="3" t="s">
        <v>267</v>
      </c>
      <c r="Z2" s="3" t="s">
        <v>15</v>
      </c>
    </row>
    <row r="3" spans="1:26" ht="34.15" customHeight="1" x14ac:dyDescent="0.25">
      <c r="A3" s="3">
        <v>2</v>
      </c>
      <c r="B3" s="3" t="s">
        <v>48</v>
      </c>
      <c r="C3" s="3"/>
      <c r="D3" s="3" t="s">
        <v>49</v>
      </c>
      <c r="E3" s="3" t="s">
        <v>50</v>
      </c>
      <c r="F3" s="3" t="s">
        <v>52</v>
      </c>
      <c r="G3" s="4">
        <v>12</v>
      </c>
      <c r="H3" s="3" t="s">
        <v>266</v>
      </c>
      <c r="I3" s="4">
        <v>0.02</v>
      </c>
      <c r="J3" s="5">
        <v>1</v>
      </c>
      <c r="K3" s="4">
        <f>1</f>
        <v>1</v>
      </c>
      <c r="L3" s="4">
        <f t="shared" si="0"/>
        <v>0.02</v>
      </c>
      <c r="M3" s="4">
        <f t="shared" si="1"/>
        <v>0.14000000000000001</v>
      </c>
      <c r="N3" s="4">
        <f t="shared" si="2"/>
        <v>0.6</v>
      </c>
      <c r="O3" s="4">
        <f t="shared" si="3"/>
        <v>7.3</v>
      </c>
      <c r="P3" s="4">
        <f t="shared" si="4"/>
        <v>36.5</v>
      </c>
      <c r="Q3" s="4">
        <f t="shared" si="5"/>
        <v>73</v>
      </c>
      <c r="R3" s="5">
        <f t="shared" si="6"/>
        <v>1.5645608157793367E-2</v>
      </c>
      <c r="S3" s="5">
        <f t="shared" si="7"/>
        <v>3.1053775565537123E-4</v>
      </c>
      <c r="T3" s="5">
        <f t="shared" si="8"/>
        <v>2.1757904456851662E-3</v>
      </c>
      <c r="U3" s="5">
        <f t="shared" si="9"/>
        <v>9.3582031654135811E-3</v>
      </c>
      <c r="V3" s="5">
        <f t="shared" si="10"/>
        <v>0.12000000000000011</v>
      </c>
      <c r="W3" s="5">
        <f t="shared" si="11"/>
        <v>0.76234168320000051</v>
      </c>
      <c r="X3" s="5">
        <f t="shared" si="12"/>
        <v>2.1058482083442112</v>
      </c>
      <c r="Y3" s="3" t="s">
        <v>267</v>
      </c>
      <c r="Z3" s="3" t="s">
        <v>15</v>
      </c>
    </row>
    <row r="4" spans="1:26" ht="34.15" customHeight="1" x14ac:dyDescent="0.25">
      <c r="A4" s="3">
        <v>3</v>
      </c>
      <c r="B4" s="3" t="s">
        <v>48</v>
      </c>
      <c r="C4" s="3"/>
      <c r="D4" s="3" t="s">
        <v>49</v>
      </c>
      <c r="E4" s="3" t="s">
        <v>50</v>
      </c>
      <c r="F4" s="3" t="s">
        <v>53</v>
      </c>
      <c r="G4" s="4">
        <v>11.5</v>
      </c>
      <c r="H4" s="3" t="s">
        <v>266</v>
      </c>
      <c r="I4" s="4">
        <v>0.02</v>
      </c>
      <c r="J4" s="5">
        <v>1</v>
      </c>
      <c r="K4" s="4">
        <f>1</f>
        <v>1</v>
      </c>
      <c r="L4" s="4">
        <f t="shared" si="0"/>
        <v>0.02</v>
      </c>
      <c r="M4" s="4">
        <f t="shared" si="1"/>
        <v>0.14000000000000001</v>
      </c>
      <c r="N4" s="4">
        <f t="shared" si="2"/>
        <v>0.6</v>
      </c>
      <c r="O4" s="4">
        <f t="shared" si="3"/>
        <v>7.3</v>
      </c>
      <c r="P4" s="4">
        <f t="shared" si="4"/>
        <v>36.5</v>
      </c>
      <c r="Q4" s="4">
        <f t="shared" si="5"/>
        <v>73</v>
      </c>
      <c r="R4" s="5">
        <f t="shared" si="6"/>
        <v>1.5023294337616955E-2</v>
      </c>
      <c r="S4" s="5">
        <f t="shared" si="7"/>
        <v>2.9827572169383032E-4</v>
      </c>
      <c r="T4" s="5">
        <f t="shared" si="8"/>
        <v>2.0897993174620044E-3</v>
      </c>
      <c r="U4" s="5">
        <f t="shared" si="9"/>
        <v>8.9870808654377576E-3</v>
      </c>
      <c r="V4" s="5">
        <f t="shared" si="10"/>
        <v>0.11499999999999999</v>
      </c>
      <c r="W4" s="5">
        <f t="shared" si="11"/>
        <v>0.72335336669687522</v>
      </c>
      <c r="X4" s="5">
        <f t="shared" si="12"/>
        <v>1.9699468265054545</v>
      </c>
      <c r="Y4" s="3" t="s">
        <v>267</v>
      </c>
      <c r="Z4" s="3" t="s">
        <v>15</v>
      </c>
    </row>
    <row r="5" spans="1:26" ht="34.15" customHeight="1" x14ac:dyDescent="0.25">
      <c r="A5" s="3">
        <v>4</v>
      </c>
      <c r="B5" s="3" t="s">
        <v>48</v>
      </c>
      <c r="C5" s="3"/>
      <c r="D5" s="3" t="s">
        <v>49</v>
      </c>
      <c r="E5" s="3" t="s">
        <v>50</v>
      </c>
      <c r="F5" s="3" t="s">
        <v>54</v>
      </c>
      <c r="G5" s="4">
        <v>11</v>
      </c>
      <c r="H5" s="3" t="s">
        <v>266</v>
      </c>
      <c r="I5" s="4">
        <v>0.02</v>
      </c>
      <c r="J5" s="5">
        <v>1</v>
      </c>
      <c r="K5" s="4">
        <f>1</f>
        <v>1</v>
      </c>
      <c r="L5" s="4">
        <f t="shared" si="0"/>
        <v>0.02</v>
      </c>
      <c r="M5" s="4">
        <f t="shared" si="1"/>
        <v>0.14000000000000001</v>
      </c>
      <c r="N5" s="4">
        <f t="shared" si="2"/>
        <v>0.6</v>
      </c>
      <c r="O5" s="4">
        <f t="shared" si="3"/>
        <v>7.3</v>
      </c>
      <c r="P5" s="4">
        <f t="shared" si="4"/>
        <v>36.5</v>
      </c>
      <c r="Q5" s="4">
        <f t="shared" si="5"/>
        <v>73</v>
      </c>
      <c r="R5" s="5">
        <f t="shared" si="6"/>
        <v>1.4398567474811941E-2</v>
      </c>
      <c r="S5" s="5">
        <f t="shared" si="7"/>
        <v>2.8595872860770477E-4</v>
      </c>
      <c r="T5" s="5">
        <f t="shared" si="8"/>
        <v>2.0034291391959336E-3</v>
      </c>
      <c r="U5" s="5">
        <f t="shared" si="9"/>
        <v>8.6144279704811755E-3</v>
      </c>
      <c r="V5" s="5">
        <f t="shared" si="10"/>
        <v>0.1100000000000001</v>
      </c>
      <c r="W5" s="5">
        <f t="shared" si="11"/>
        <v>0.68505815510000057</v>
      </c>
      <c r="X5" s="5">
        <f t="shared" si="12"/>
        <v>1.839420986069018</v>
      </c>
      <c r="Y5" s="3" t="s">
        <v>267</v>
      </c>
      <c r="Z5" s="3" t="s">
        <v>15</v>
      </c>
    </row>
    <row r="6" spans="1:26" ht="34.15" customHeight="1" x14ac:dyDescent="0.25">
      <c r="A6" s="3">
        <v>5</v>
      </c>
      <c r="B6" s="3" t="s">
        <v>48</v>
      </c>
      <c r="C6" s="3"/>
      <c r="D6" s="3" t="s">
        <v>49</v>
      </c>
      <c r="E6" s="3" t="s">
        <v>50</v>
      </c>
      <c r="F6" s="3" t="s">
        <v>55</v>
      </c>
      <c r="G6" s="4">
        <v>10.5</v>
      </c>
      <c r="H6" s="3" t="s">
        <v>266</v>
      </c>
      <c r="I6" s="4">
        <v>0.02</v>
      </c>
      <c r="J6" s="5">
        <v>1</v>
      </c>
      <c r="K6" s="4">
        <f>1</f>
        <v>1</v>
      </c>
      <c r="L6" s="4">
        <f t="shared" si="0"/>
        <v>0.02</v>
      </c>
      <c r="M6" s="4">
        <f t="shared" si="1"/>
        <v>0.14000000000000001</v>
      </c>
      <c r="N6" s="4">
        <f t="shared" si="2"/>
        <v>0.6</v>
      </c>
      <c r="O6" s="4">
        <f t="shared" si="3"/>
        <v>7.3</v>
      </c>
      <c r="P6" s="4">
        <f t="shared" si="4"/>
        <v>36.5</v>
      </c>
      <c r="Q6" s="4">
        <f t="shared" si="5"/>
        <v>73</v>
      </c>
      <c r="R6" s="5">
        <f t="shared" si="6"/>
        <v>1.3771407279687509E-2</v>
      </c>
      <c r="S6" s="5">
        <f t="shared" si="7"/>
        <v>2.7358628083273828E-4</v>
      </c>
      <c r="T6" s="5">
        <f t="shared" si="8"/>
        <v>1.9166765212619286E-3</v>
      </c>
      <c r="U6" s="5">
        <f t="shared" si="9"/>
        <v>8.2402312306175673E-3</v>
      </c>
      <c r="V6" s="5">
        <f t="shared" si="10"/>
        <v>0.10499999999999998</v>
      </c>
      <c r="W6" s="5">
        <f t="shared" si="11"/>
        <v>0.64744676594062511</v>
      </c>
      <c r="X6" s="5">
        <f t="shared" si="12"/>
        <v>1.7140808466082249</v>
      </c>
      <c r="Y6" s="3" t="s">
        <v>267</v>
      </c>
      <c r="Z6" s="3" t="s">
        <v>15</v>
      </c>
    </row>
    <row r="7" spans="1:26" ht="34.15" customHeight="1" x14ac:dyDescent="0.25">
      <c r="A7" s="3">
        <v>6</v>
      </c>
      <c r="B7" s="3" t="s">
        <v>48</v>
      </c>
      <c r="C7" s="3"/>
      <c r="D7" s="3" t="s">
        <v>49</v>
      </c>
      <c r="E7" s="3" t="s">
        <v>50</v>
      </c>
      <c r="F7" s="3" t="s">
        <v>56</v>
      </c>
      <c r="G7" s="4">
        <v>10.199999999999999</v>
      </c>
      <c r="H7" s="3" t="s">
        <v>266</v>
      </c>
      <c r="I7" s="4">
        <v>0.02</v>
      </c>
      <c r="J7" s="5">
        <v>1</v>
      </c>
      <c r="K7" s="4">
        <f>1</f>
        <v>1</v>
      </c>
      <c r="L7" s="4">
        <f t="shared" si="0"/>
        <v>0.02</v>
      </c>
      <c r="M7" s="4">
        <f t="shared" si="1"/>
        <v>0.14000000000000001</v>
      </c>
      <c r="N7" s="4">
        <f t="shared" si="2"/>
        <v>0.6</v>
      </c>
      <c r="O7" s="4">
        <f t="shared" si="3"/>
        <v>7.3</v>
      </c>
      <c r="P7" s="4">
        <f t="shared" si="4"/>
        <v>36.5</v>
      </c>
      <c r="Q7" s="4">
        <f t="shared" si="5"/>
        <v>73</v>
      </c>
      <c r="R7" s="5">
        <f t="shared" si="6"/>
        <v>1.3393934624122306E-2</v>
      </c>
      <c r="S7" s="5">
        <f t="shared" si="7"/>
        <v>2.661359852436096E-4</v>
      </c>
      <c r="T7" s="5">
        <f t="shared" si="8"/>
        <v>1.8644399522460553E-3</v>
      </c>
      <c r="U7" s="5">
        <f t="shared" si="9"/>
        <v>8.0149665636348733E-3</v>
      </c>
      <c r="V7" s="5">
        <f t="shared" si="10"/>
        <v>0.10200000000000009</v>
      </c>
      <c r="W7" s="5">
        <f t="shared" si="11"/>
        <v>0.62520433688803267</v>
      </c>
      <c r="X7" s="5">
        <f t="shared" si="12"/>
        <v>1.6412891366396702</v>
      </c>
      <c r="Y7" s="3" t="s">
        <v>267</v>
      </c>
      <c r="Z7" s="3" t="s">
        <v>15</v>
      </c>
    </row>
    <row r="8" spans="1:26" ht="34.15" customHeight="1" x14ac:dyDescent="0.25">
      <c r="A8" s="3">
        <v>7</v>
      </c>
      <c r="B8" s="3" t="s">
        <v>48</v>
      </c>
      <c r="C8" s="3"/>
      <c r="D8" s="3" t="s">
        <v>49</v>
      </c>
      <c r="E8" s="3" t="s">
        <v>50</v>
      </c>
      <c r="F8" s="3" t="s">
        <v>57</v>
      </c>
      <c r="G8" s="4">
        <v>10</v>
      </c>
      <c r="H8" s="3" t="s">
        <v>266</v>
      </c>
      <c r="I8" s="4">
        <v>0.02</v>
      </c>
      <c r="J8" s="5">
        <v>1</v>
      </c>
      <c r="K8" s="4">
        <f>1</f>
        <v>1</v>
      </c>
      <c r="L8" s="4">
        <f t="shared" si="0"/>
        <v>0.02</v>
      </c>
      <c r="M8" s="4">
        <f t="shared" si="1"/>
        <v>0.14000000000000001</v>
      </c>
      <c r="N8" s="4">
        <f t="shared" si="2"/>
        <v>0.6</v>
      </c>
      <c r="O8" s="4">
        <f t="shared" si="3"/>
        <v>7.3</v>
      </c>
      <c r="P8" s="4">
        <f t="shared" si="4"/>
        <v>36.5</v>
      </c>
      <c r="Q8" s="4">
        <f t="shared" si="5"/>
        <v>73</v>
      </c>
      <c r="R8" s="5">
        <f t="shared" si="6"/>
        <v>1.3141793199187735E-2</v>
      </c>
      <c r="S8" s="5">
        <f t="shared" si="7"/>
        <v>2.6115787606784124E-4</v>
      </c>
      <c r="T8" s="5">
        <f t="shared" si="8"/>
        <v>1.8295380282136176E-3</v>
      </c>
      <c r="U8" s="5">
        <f t="shared" si="9"/>
        <v>7.8644772206188929E-3</v>
      </c>
      <c r="V8" s="5">
        <f t="shared" si="10"/>
        <v>0.10000000000000009</v>
      </c>
      <c r="W8" s="5">
        <f t="shared" si="11"/>
        <v>0.61051000000000055</v>
      </c>
      <c r="X8" s="5">
        <f t="shared" si="12"/>
        <v>1.5937424601000019</v>
      </c>
      <c r="Y8" s="3" t="s">
        <v>267</v>
      </c>
      <c r="Z8" s="3" t="s">
        <v>15</v>
      </c>
    </row>
    <row r="9" spans="1:26" ht="34.15" customHeight="1" x14ac:dyDescent="0.25">
      <c r="A9" s="3">
        <v>8</v>
      </c>
      <c r="B9" s="3" t="s">
        <v>48</v>
      </c>
      <c r="C9" s="3"/>
      <c r="D9" s="3" t="s">
        <v>49</v>
      </c>
      <c r="E9" s="3" t="s">
        <v>50</v>
      </c>
      <c r="F9" s="3" t="s">
        <v>58</v>
      </c>
      <c r="G9" s="4">
        <v>10</v>
      </c>
      <c r="H9" s="3" t="s">
        <v>266</v>
      </c>
      <c r="I9" s="4">
        <v>0.02</v>
      </c>
      <c r="J9" s="5">
        <v>1</v>
      </c>
      <c r="K9" s="4">
        <f>1</f>
        <v>1</v>
      </c>
      <c r="L9" s="4">
        <f t="shared" si="0"/>
        <v>0.02</v>
      </c>
      <c r="M9" s="4">
        <f t="shared" si="1"/>
        <v>0.14000000000000001</v>
      </c>
      <c r="N9" s="4">
        <f t="shared" si="2"/>
        <v>0.6</v>
      </c>
      <c r="O9" s="4">
        <f t="shared" si="3"/>
        <v>7.3</v>
      </c>
      <c r="P9" s="4">
        <f t="shared" si="4"/>
        <v>36.5</v>
      </c>
      <c r="Q9" s="4">
        <f t="shared" si="5"/>
        <v>73</v>
      </c>
      <c r="R9" s="5">
        <f t="shared" si="6"/>
        <v>1.3141793199187735E-2</v>
      </c>
      <c r="S9" s="5">
        <f t="shared" si="7"/>
        <v>2.6115787606784124E-4</v>
      </c>
      <c r="T9" s="5">
        <f t="shared" si="8"/>
        <v>1.8295380282136176E-3</v>
      </c>
      <c r="U9" s="5">
        <f t="shared" si="9"/>
        <v>7.8644772206188929E-3</v>
      </c>
      <c r="V9" s="5">
        <f t="shared" si="10"/>
        <v>0.10000000000000009</v>
      </c>
      <c r="W9" s="5">
        <f t="shared" si="11"/>
        <v>0.61051000000000055</v>
      </c>
      <c r="X9" s="5">
        <f t="shared" si="12"/>
        <v>1.5937424601000019</v>
      </c>
      <c r="Y9" s="3" t="s">
        <v>267</v>
      </c>
      <c r="Z9" s="3" t="s">
        <v>15</v>
      </c>
    </row>
    <row r="10" spans="1:26" ht="34.15" customHeight="1" x14ac:dyDescent="0.25">
      <c r="A10" s="3">
        <v>9</v>
      </c>
      <c r="B10" s="3" t="s">
        <v>48</v>
      </c>
      <c r="C10" s="3"/>
      <c r="D10" s="3" t="s">
        <v>49</v>
      </c>
      <c r="E10" s="3" t="s">
        <v>50</v>
      </c>
      <c r="F10" s="3" t="s">
        <v>59</v>
      </c>
      <c r="G10" s="4">
        <v>9.5</v>
      </c>
      <c r="H10" s="3" t="s">
        <v>266</v>
      </c>
      <c r="I10" s="4">
        <v>0.02</v>
      </c>
      <c r="J10" s="5">
        <v>1</v>
      </c>
      <c r="K10" s="4">
        <f>1</f>
        <v>1</v>
      </c>
      <c r="L10" s="4">
        <f t="shared" si="0"/>
        <v>0.02</v>
      </c>
      <c r="M10" s="4">
        <f t="shared" si="1"/>
        <v>0.14000000000000001</v>
      </c>
      <c r="N10" s="4">
        <f t="shared" si="2"/>
        <v>0.6</v>
      </c>
      <c r="O10" s="4">
        <f t="shared" si="3"/>
        <v>7.3</v>
      </c>
      <c r="P10" s="4">
        <f t="shared" si="4"/>
        <v>36.5</v>
      </c>
      <c r="Q10" s="4">
        <f t="shared" si="5"/>
        <v>73</v>
      </c>
      <c r="R10" s="5">
        <f t="shared" si="6"/>
        <v>1.2509704412257516E-2</v>
      </c>
      <c r="S10" s="5">
        <f t="shared" si="7"/>
        <v>2.4867300515341029E-4</v>
      </c>
      <c r="T10" s="5">
        <f t="shared" si="8"/>
        <v>1.7420101779532793E-3</v>
      </c>
      <c r="U10" s="5">
        <f t="shared" si="9"/>
        <v>7.4871523368285064E-3</v>
      </c>
      <c r="V10" s="5">
        <f t="shared" si="10"/>
        <v>9.4999999999999973E-2</v>
      </c>
      <c r="W10" s="5">
        <f t="shared" si="11"/>
        <v>0.57423874093437499</v>
      </c>
      <c r="X10" s="5">
        <f t="shared" si="12"/>
        <v>1.4782276134586465</v>
      </c>
      <c r="Y10" s="3" t="s">
        <v>267</v>
      </c>
      <c r="Z10" s="3" t="s">
        <v>15</v>
      </c>
    </row>
    <row r="11" spans="1:26" ht="34.15" customHeight="1" x14ac:dyDescent="0.25">
      <c r="A11" s="3">
        <v>10</v>
      </c>
      <c r="B11" s="3" t="s">
        <v>48</v>
      </c>
      <c r="C11" s="3"/>
      <c r="D11" s="3" t="s">
        <v>49</v>
      </c>
      <c r="E11" s="3" t="s">
        <v>50</v>
      </c>
      <c r="F11" s="3" t="s">
        <v>60</v>
      </c>
      <c r="G11" s="4">
        <v>9.5</v>
      </c>
      <c r="H11" s="3" t="s">
        <v>266</v>
      </c>
      <c r="I11" s="4">
        <v>0.02</v>
      </c>
      <c r="J11" s="5">
        <v>1</v>
      </c>
      <c r="K11" s="4">
        <f>1</f>
        <v>1</v>
      </c>
      <c r="L11" s="4">
        <f t="shared" si="0"/>
        <v>0.02</v>
      </c>
      <c r="M11" s="4">
        <f t="shared" si="1"/>
        <v>0.14000000000000001</v>
      </c>
      <c r="N11" s="4">
        <f t="shared" si="2"/>
        <v>0.6</v>
      </c>
      <c r="O11" s="4">
        <f t="shared" si="3"/>
        <v>7.3</v>
      </c>
      <c r="P11" s="4">
        <f t="shared" si="4"/>
        <v>36.5</v>
      </c>
      <c r="Q11" s="4">
        <f t="shared" si="5"/>
        <v>73</v>
      </c>
      <c r="R11" s="5">
        <f t="shared" si="6"/>
        <v>1.2509704412257516E-2</v>
      </c>
      <c r="S11" s="5">
        <f t="shared" si="7"/>
        <v>2.4867300515341029E-4</v>
      </c>
      <c r="T11" s="5">
        <f t="shared" si="8"/>
        <v>1.7420101779532793E-3</v>
      </c>
      <c r="U11" s="5">
        <f t="shared" si="9"/>
        <v>7.4871523368285064E-3</v>
      </c>
      <c r="V11" s="5">
        <f t="shared" si="10"/>
        <v>9.4999999999999973E-2</v>
      </c>
      <c r="W11" s="5">
        <f t="shared" si="11"/>
        <v>0.57423874093437499</v>
      </c>
      <c r="X11" s="5">
        <f t="shared" si="12"/>
        <v>1.4782276134586465</v>
      </c>
      <c r="Y11" s="3" t="s">
        <v>267</v>
      </c>
      <c r="Z11" s="3" t="s">
        <v>15</v>
      </c>
    </row>
    <row r="12" spans="1:26" ht="34.15" customHeight="1" x14ac:dyDescent="0.25">
      <c r="A12" s="3">
        <v>11</v>
      </c>
      <c r="B12" s="3" t="s">
        <v>48</v>
      </c>
      <c r="C12" s="3"/>
      <c r="D12" s="3" t="s">
        <v>49</v>
      </c>
      <c r="E12" s="3" t="s">
        <v>50</v>
      </c>
      <c r="F12" s="3" t="s">
        <v>61</v>
      </c>
      <c r="G12" s="4">
        <v>8.5</v>
      </c>
      <c r="H12" s="3" t="s">
        <v>266</v>
      </c>
      <c r="I12" s="4">
        <v>0.02</v>
      </c>
      <c r="J12" s="5">
        <v>1</v>
      </c>
      <c r="K12" s="4">
        <f>1</f>
        <v>1</v>
      </c>
      <c r="L12" s="4">
        <f t="shared" si="0"/>
        <v>0.02</v>
      </c>
      <c r="M12" s="4">
        <f t="shared" si="1"/>
        <v>0.14000000000000001</v>
      </c>
      <c r="N12" s="4">
        <f t="shared" si="2"/>
        <v>0.6</v>
      </c>
      <c r="O12" s="4">
        <f t="shared" si="3"/>
        <v>7.3</v>
      </c>
      <c r="P12" s="4">
        <f t="shared" si="4"/>
        <v>36.5</v>
      </c>
      <c r="Q12" s="4">
        <f t="shared" si="5"/>
        <v>73</v>
      </c>
      <c r="R12" s="5">
        <f t="shared" si="6"/>
        <v>1.1238018066364486E-2</v>
      </c>
      <c r="S12" s="5">
        <f t="shared" si="7"/>
        <v>2.2353179318668204E-4</v>
      </c>
      <c r="T12" s="5">
        <f t="shared" si="8"/>
        <v>1.5657722390267637E-3</v>
      </c>
      <c r="U12" s="5">
        <f t="shared" si="9"/>
        <v>6.7277346218359568E-3</v>
      </c>
      <c r="V12" s="5">
        <f t="shared" si="10"/>
        <v>8.4999999999999964E-2</v>
      </c>
      <c r="W12" s="5">
        <f t="shared" si="11"/>
        <v>0.50365669017812476</v>
      </c>
      <c r="X12" s="5">
        <f t="shared" si="12"/>
        <v>1.2609834419174333</v>
      </c>
      <c r="Y12" s="3" t="s">
        <v>267</v>
      </c>
      <c r="Z12" s="3" t="s">
        <v>15</v>
      </c>
    </row>
    <row r="13" spans="1:26" ht="34.15" customHeight="1" x14ac:dyDescent="0.25">
      <c r="A13" s="3">
        <v>12</v>
      </c>
      <c r="B13" s="3" t="s">
        <v>48</v>
      </c>
      <c r="C13" s="3"/>
      <c r="D13" s="3" t="s">
        <v>49</v>
      </c>
      <c r="E13" s="3" t="s">
        <v>50</v>
      </c>
      <c r="F13" s="3" t="s">
        <v>62</v>
      </c>
      <c r="G13" s="4">
        <v>8</v>
      </c>
      <c r="H13" s="3" t="s">
        <v>266</v>
      </c>
      <c r="I13" s="4">
        <v>0.02</v>
      </c>
      <c r="J13" s="5">
        <v>1</v>
      </c>
      <c r="K13" s="4">
        <f>1</f>
        <v>1</v>
      </c>
      <c r="L13" s="4">
        <f t="shared" si="0"/>
        <v>0.02</v>
      </c>
      <c r="M13" s="4">
        <f t="shared" si="1"/>
        <v>0.14000000000000001</v>
      </c>
      <c r="N13" s="4">
        <f t="shared" si="2"/>
        <v>0.6</v>
      </c>
      <c r="O13" s="4">
        <f t="shared" si="3"/>
        <v>7.3</v>
      </c>
      <c r="P13" s="4">
        <f t="shared" si="4"/>
        <v>36.5</v>
      </c>
      <c r="Q13" s="4">
        <f t="shared" si="5"/>
        <v>73</v>
      </c>
      <c r="R13" s="5">
        <f t="shared" si="6"/>
        <v>1.0598377482134325E-2</v>
      </c>
      <c r="S13" s="5">
        <f t="shared" si="7"/>
        <v>2.1087439837685906E-4</v>
      </c>
      <c r="T13" s="5">
        <f t="shared" si="8"/>
        <v>1.4770549451583737E-3</v>
      </c>
      <c r="U13" s="5">
        <f t="shared" si="9"/>
        <v>6.3456136620225756E-3</v>
      </c>
      <c r="V13" s="5">
        <f t="shared" si="10"/>
        <v>8.0000000000000071E-2</v>
      </c>
      <c r="W13" s="5">
        <f t="shared" si="11"/>
        <v>0.46932807680000033</v>
      </c>
      <c r="X13" s="5">
        <f t="shared" si="12"/>
        <v>1.1589249972727877</v>
      </c>
      <c r="Y13" s="3" t="s">
        <v>267</v>
      </c>
      <c r="Z13" s="3" t="s">
        <v>15</v>
      </c>
    </row>
    <row r="14" spans="1:26" ht="34.15" customHeight="1" x14ac:dyDescent="0.25">
      <c r="A14" s="3">
        <v>13</v>
      </c>
      <c r="B14" s="3" t="s">
        <v>48</v>
      </c>
      <c r="C14" s="3"/>
      <c r="D14" s="3" t="s">
        <v>49</v>
      </c>
      <c r="E14" s="3" t="s">
        <v>50</v>
      </c>
      <c r="F14" s="3" t="s">
        <v>63</v>
      </c>
      <c r="G14" s="4">
        <v>8</v>
      </c>
      <c r="H14" s="3" t="s">
        <v>266</v>
      </c>
      <c r="I14" s="4">
        <v>0.02</v>
      </c>
      <c r="J14" s="5">
        <v>1</v>
      </c>
      <c r="K14" s="4">
        <f>1</f>
        <v>1</v>
      </c>
      <c r="L14" s="4">
        <f t="shared" si="0"/>
        <v>0.02</v>
      </c>
      <c r="M14" s="4">
        <f t="shared" si="1"/>
        <v>0.14000000000000001</v>
      </c>
      <c r="N14" s="4">
        <f t="shared" si="2"/>
        <v>0.6</v>
      </c>
      <c r="O14" s="4">
        <f t="shared" si="3"/>
        <v>7.3</v>
      </c>
      <c r="P14" s="4">
        <f t="shared" si="4"/>
        <v>36.5</v>
      </c>
      <c r="Q14" s="4">
        <f t="shared" si="5"/>
        <v>73</v>
      </c>
      <c r="R14" s="5">
        <f t="shared" si="6"/>
        <v>1.0598377482134325E-2</v>
      </c>
      <c r="S14" s="5">
        <f t="shared" si="7"/>
        <v>2.1087439837685906E-4</v>
      </c>
      <c r="T14" s="5">
        <f t="shared" si="8"/>
        <v>1.4770549451583737E-3</v>
      </c>
      <c r="U14" s="5">
        <f t="shared" si="9"/>
        <v>6.3456136620225756E-3</v>
      </c>
      <c r="V14" s="5">
        <f t="shared" si="10"/>
        <v>8.0000000000000071E-2</v>
      </c>
      <c r="W14" s="5">
        <f t="shared" si="11"/>
        <v>0.46932807680000033</v>
      </c>
      <c r="X14" s="5">
        <f t="shared" si="12"/>
        <v>1.1589249972727877</v>
      </c>
      <c r="Y14" s="3" t="s">
        <v>267</v>
      </c>
      <c r="Z14" s="3" t="s">
        <v>15</v>
      </c>
    </row>
    <row r="15" spans="1:26" ht="34.15" customHeight="1" x14ac:dyDescent="0.25">
      <c r="A15" s="3">
        <v>14</v>
      </c>
      <c r="B15" s="3" t="s">
        <v>48</v>
      </c>
      <c r="C15" s="3"/>
      <c r="D15" s="3" t="s">
        <v>49</v>
      </c>
      <c r="E15" s="3" t="s">
        <v>50</v>
      </c>
      <c r="F15" s="3" t="s">
        <v>64</v>
      </c>
      <c r="G15" s="4">
        <v>7.5</v>
      </c>
      <c r="H15" s="3" t="s">
        <v>266</v>
      </c>
      <c r="I15" s="4">
        <v>0.02</v>
      </c>
      <c r="J15" s="5">
        <v>1</v>
      </c>
      <c r="K15" s="4">
        <f>1</f>
        <v>1</v>
      </c>
      <c r="L15" s="4">
        <f t="shared" si="0"/>
        <v>0.02</v>
      </c>
      <c r="M15" s="4">
        <f t="shared" si="1"/>
        <v>0.14000000000000001</v>
      </c>
      <c r="N15" s="4">
        <f t="shared" si="2"/>
        <v>0.6</v>
      </c>
      <c r="O15" s="4">
        <f t="shared" si="3"/>
        <v>7.3</v>
      </c>
      <c r="P15" s="4">
        <f t="shared" si="4"/>
        <v>36.5</v>
      </c>
      <c r="Q15" s="4">
        <f t="shared" si="5"/>
        <v>73</v>
      </c>
      <c r="R15" s="5">
        <f t="shared" si="6"/>
        <v>9.9561761309245878E-3</v>
      </c>
      <c r="S15" s="5">
        <f t="shared" si="7"/>
        <v>1.9815842963666341E-4</v>
      </c>
      <c r="T15" s="5">
        <f t="shared" si="8"/>
        <v>1.3879338818745257E-3</v>
      </c>
      <c r="U15" s="5">
        <f t="shared" si="9"/>
        <v>5.9618655644277929E-3</v>
      </c>
      <c r="V15" s="5">
        <f t="shared" si="10"/>
        <v>7.4999999999999956E-2</v>
      </c>
      <c r="W15" s="5">
        <f t="shared" si="11"/>
        <v>0.43562932617187489</v>
      </c>
      <c r="X15" s="5">
        <f t="shared" si="12"/>
        <v>1.0610315621647111</v>
      </c>
      <c r="Y15" s="3" t="s">
        <v>267</v>
      </c>
      <c r="Z15" s="3" t="s">
        <v>15</v>
      </c>
    </row>
    <row r="16" spans="1:26" ht="34.15" customHeight="1" x14ac:dyDescent="0.25">
      <c r="A16" s="3">
        <v>15</v>
      </c>
      <c r="B16" s="3" t="s">
        <v>48</v>
      </c>
      <c r="C16" s="3"/>
      <c r="D16" s="3" t="s">
        <v>49</v>
      </c>
      <c r="E16" s="3" t="s">
        <v>50</v>
      </c>
      <c r="F16" s="3" t="s">
        <v>65</v>
      </c>
      <c r="G16" s="4">
        <v>7</v>
      </c>
      <c r="H16" s="3" t="s">
        <v>266</v>
      </c>
      <c r="I16" s="4">
        <v>0.02</v>
      </c>
      <c r="J16" s="5">
        <v>1</v>
      </c>
      <c r="K16" s="4">
        <f>1</f>
        <v>1</v>
      </c>
      <c r="L16" s="4">
        <f t="shared" si="0"/>
        <v>0.02</v>
      </c>
      <c r="M16" s="4">
        <f t="shared" si="1"/>
        <v>0.14000000000000001</v>
      </c>
      <c r="N16" s="4">
        <f t="shared" si="2"/>
        <v>0.6</v>
      </c>
      <c r="O16" s="4">
        <f t="shared" si="3"/>
        <v>7.3</v>
      </c>
      <c r="P16" s="4">
        <f t="shared" si="4"/>
        <v>36.5</v>
      </c>
      <c r="Q16" s="4">
        <f t="shared" si="5"/>
        <v>73</v>
      </c>
      <c r="R16" s="5">
        <f t="shared" si="6"/>
        <v>9.3113917784739542E-3</v>
      </c>
      <c r="S16" s="5">
        <f t="shared" si="7"/>
        <v>1.8538334157058856E-4</v>
      </c>
      <c r="T16" s="5">
        <f t="shared" si="8"/>
        <v>1.298405320672158E-3</v>
      </c>
      <c r="U16" s="5">
        <f t="shared" si="9"/>
        <v>5.5764757837923895E-3</v>
      </c>
      <c r="V16" s="5">
        <f t="shared" si="10"/>
        <v>7.0000000000000062E-2</v>
      </c>
      <c r="W16" s="5">
        <f t="shared" si="11"/>
        <v>0.40255173070000017</v>
      </c>
      <c r="X16" s="5">
        <f t="shared" si="12"/>
        <v>0.96715135728956558</v>
      </c>
      <c r="Y16" s="3" t="s">
        <v>267</v>
      </c>
      <c r="Z16" s="3" t="s">
        <v>15</v>
      </c>
    </row>
    <row r="17" spans="1:26" ht="34.15" customHeight="1" x14ac:dyDescent="0.25">
      <c r="A17" s="3">
        <v>16</v>
      </c>
      <c r="B17" s="3" t="s">
        <v>48</v>
      </c>
      <c r="C17" s="3"/>
      <c r="D17" s="3" t="s">
        <v>49</v>
      </c>
      <c r="E17" s="3" t="s">
        <v>50</v>
      </c>
      <c r="F17" s="3" t="s">
        <v>66</v>
      </c>
      <c r="G17" s="4">
        <v>5.5</v>
      </c>
      <c r="H17" s="3" t="s">
        <v>266</v>
      </c>
      <c r="I17" s="4">
        <v>0.02</v>
      </c>
      <c r="J17" s="5">
        <v>1</v>
      </c>
      <c r="K17" s="4">
        <f>1</f>
        <v>1</v>
      </c>
      <c r="L17" s="4">
        <f t="shared" si="0"/>
        <v>0.02</v>
      </c>
      <c r="M17" s="4">
        <f t="shared" si="1"/>
        <v>0.14000000000000001</v>
      </c>
      <c r="N17" s="4">
        <f t="shared" si="2"/>
        <v>0.6</v>
      </c>
      <c r="O17" s="4">
        <f t="shared" si="3"/>
        <v>7.3</v>
      </c>
      <c r="P17" s="4">
        <f t="shared" si="4"/>
        <v>36.5</v>
      </c>
      <c r="Q17" s="4">
        <f t="shared" si="5"/>
        <v>73</v>
      </c>
      <c r="R17" s="5">
        <f t="shared" si="6"/>
        <v>7.3613138674479828E-3</v>
      </c>
      <c r="S17" s="5">
        <f t="shared" si="7"/>
        <v>1.466977917483625E-4</v>
      </c>
      <c r="T17" s="5">
        <f t="shared" si="8"/>
        <v>1.027336577833049E-3</v>
      </c>
      <c r="U17" s="5">
        <f t="shared" si="9"/>
        <v>4.4103078877744117E-3</v>
      </c>
      <c r="V17" s="5">
        <f t="shared" si="10"/>
        <v>5.4999999999999938E-2</v>
      </c>
      <c r="W17" s="5">
        <f t="shared" si="11"/>
        <v>0.30696000640937471</v>
      </c>
      <c r="X17" s="5">
        <f t="shared" si="12"/>
        <v>0.70814445835359296</v>
      </c>
      <c r="Y17" s="3" t="s">
        <v>267</v>
      </c>
      <c r="Z17" s="3" t="s">
        <v>15</v>
      </c>
    </row>
    <row r="18" spans="1:26" ht="34.15" customHeight="1" x14ac:dyDescent="0.25">
      <c r="A18" s="3">
        <v>17</v>
      </c>
      <c r="B18" s="3" t="s">
        <v>48</v>
      </c>
      <c r="C18" s="3"/>
      <c r="D18" s="3" t="s">
        <v>49</v>
      </c>
      <c r="E18" s="3" t="s">
        <v>50</v>
      </c>
      <c r="F18" s="3" t="s">
        <v>67</v>
      </c>
      <c r="G18" s="4">
        <v>5</v>
      </c>
      <c r="H18" s="3" t="s">
        <v>266</v>
      </c>
      <c r="I18" s="4">
        <v>0.02</v>
      </c>
      <c r="J18" s="5">
        <v>1</v>
      </c>
      <c r="K18" s="4">
        <f>1</f>
        <v>1</v>
      </c>
      <c r="L18" s="4">
        <f t="shared" si="0"/>
        <v>0.02</v>
      </c>
      <c r="M18" s="4">
        <f t="shared" si="1"/>
        <v>0.14000000000000001</v>
      </c>
      <c r="N18" s="4">
        <f t="shared" si="2"/>
        <v>0.6</v>
      </c>
      <c r="O18" s="4">
        <f t="shared" si="3"/>
        <v>7.3</v>
      </c>
      <c r="P18" s="4">
        <f t="shared" si="4"/>
        <v>36.5</v>
      </c>
      <c r="Q18" s="4">
        <f t="shared" si="5"/>
        <v>73</v>
      </c>
      <c r="R18" s="5">
        <f t="shared" si="6"/>
        <v>6.7059691240980435E-3</v>
      </c>
      <c r="S18" s="5">
        <f t="shared" si="7"/>
        <v>1.3368061711349633E-4</v>
      </c>
      <c r="T18" s="5">
        <f t="shared" si="8"/>
        <v>9.3613968407346704E-4</v>
      </c>
      <c r="U18" s="5">
        <f t="shared" si="9"/>
        <v>4.0182018919749929E-3</v>
      </c>
      <c r="V18" s="5">
        <f t="shared" si="10"/>
        <v>5.0000000000000044E-2</v>
      </c>
      <c r="W18" s="5">
        <f t="shared" si="11"/>
        <v>0.27628156250000013</v>
      </c>
      <c r="X18" s="5">
        <f t="shared" si="12"/>
        <v>0.62889462677744157</v>
      </c>
      <c r="Y18" s="3" t="s">
        <v>267</v>
      </c>
      <c r="Z18" s="3" t="s">
        <v>15</v>
      </c>
    </row>
    <row r="19" spans="1:26" ht="34.15" customHeight="1" x14ac:dyDescent="0.25">
      <c r="A19" s="3">
        <v>18</v>
      </c>
      <c r="B19" s="3" t="s">
        <v>48</v>
      </c>
      <c r="C19" s="3"/>
      <c r="D19" s="3" t="s">
        <v>49</v>
      </c>
      <c r="E19" s="3" t="s">
        <v>50</v>
      </c>
      <c r="F19" s="3" t="s">
        <v>68</v>
      </c>
      <c r="G19" s="4">
        <v>4</v>
      </c>
      <c r="H19" s="3" t="s">
        <v>266</v>
      </c>
      <c r="I19" s="4">
        <v>0.02</v>
      </c>
      <c r="J19" s="5">
        <v>1</v>
      </c>
      <c r="K19" s="4">
        <f>1</f>
        <v>1</v>
      </c>
      <c r="L19" s="4">
        <f t="shared" si="0"/>
        <v>0.02</v>
      </c>
      <c r="M19" s="4">
        <f t="shared" si="1"/>
        <v>0.14000000000000001</v>
      </c>
      <c r="N19" s="4">
        <f t="shared" si="2"/>
        <v>0.6</v>
      </c>
      <c r="O19" s="4">
        <f t="shared" si="3"/>
        <v>7.3</v>
      </c>
      <c r="P19" s="4">
        <f t="shared" si="4"/>
        <v>36.5</v>
      </c>
      <c r="Q19" s="4">
        <f t="shared" si="5"/>
        <v>73</v>
      </c>
      <c r="R19" s="5">
        <f t="shared" si="6"/>
        <v>5.3871592696590476E-3</v>
      </c>
      <c r="S19" s="5">
        <f t="shared" si="7"/>
        <v>1.0745978202786333E-4</v>
      </c>
      <c r="T19" s="5">
        <f t="shared" si="8"/>
        <v>7.5246101733150716E-4</v>
      </c>
      <c r="U19" s="5">
        <f t="shared" si="9"/>
        <v>3.2288217106277717E-3</v>
      </c>
      <c r="V19" s="5">
        <f t="shared" si="10"/>
        <v>4.0000000000000036E-2</v>
      </c>
      <c r="W19" s="5">
        <f t="shared" si="11"/>
        <v>0.21665290240000035</v>
      </c>
      <c r="X19" s="5">
        <f t="shared" si="12"/>
        <v>0.48024428491834459</v>
      </c>
      <c r="Y19" s="3" t="s">
        <v>267</v>
      </c>
      <c r="Z19" s="3" t="s">
        <v>15</v>
      </c>
    </row>
    <row r="20" spans="1:26" ht="34.15" customHeight="1" x14ac:dyDescent="0.25">
      <c r="A20" s="3">
        <v>19</v>
      </c>
      <c r="B20" s="3" t="s">
        <v>48</v>
      </c>
      <c r="C20" s="3"/>
      <c r="D20" s="3" t="s">
        <v>49</v>
      </c>
      <c r="E20" s="3" t="s">
        <v>50</v>
      </c>
      <c r="F20" s="3" t="s">
        <v>69</v>
      </c>
      <c r="G20" s="4">
        <v>2</v>
      </c>
      <c r="H20" s="3" t="s">
        <v>266</v>
      </c>
      <c r="I20" s="4">
        <v>0.02</v>
      </c>
      <c r="J20" s="5">
        <v>1</v>
      </c>
      <c r="K20" s="4">
        <f>1</f>
        <v>1</v>
      </c>
      <c r="L20" s="4">
        <f t="shared" si="0"/>
        <v>0.02</v>
      </c>
      <c r="M20" s="4">
        <f t="shared" si="1"/>
        <v>0.14000000000000001</v>
      </c>
      <c r="N20" s="4">
        <f t="shared" si="2"/>
        <v>0.6</v>
      </c>
      <c r="O20" s="4">
        <f t="shared" si="3"/>
        <v>7.3</v>
      </c>
      <c r="P20" s="4">
        <f t="shared" si="4"/>
        <v>36.5</v>
      </c>
      <c r="Q20" s="4">
        <f t="shared" si="5"/>
        <v>73</v>
      </c>
      <c r="R20" s="5">
        <f t="shared" si="6"/>
        <v>2.7163713398470346E-3</v>
      </c>
      <c r="S20" s="5">
        <f t="shared" si="7"/>
        <v>5.4255245176770828E-5</v>
      </c>
      <c r="T20" s="5">
        <f t="shared" si="8"/>
        <v>3.7984853809169827E-4</v>
      </c>
      <c r="U20" s="5">
        <f t="shared" si="9"/>
        <v>1.628938483711595E-3</v>
      </c>
      <c r="V20" s="5">
        <f t="shared" si="10"/>
        <v>2.0000000000000018E-2</v>
      </c>
      <c r="W20" s="5">
        <f t="shared" si="11"/>
        <v>0.10408080320000002</v>
      </c>
      <c r="X20" s="5">
        <f t="shared" si="12"/>
        <v>0.21899441999475711</v>
      </c>
      <c r="Y20" s="3" t="s">
        <v>267</v>
      </c>
      <c r="Z20" s="3" t="s">
        <v>15</v>
      </c>
    </row>
    <row r="21" spans="1:26" ht="34.15" customHeight="1" x14ac:dyDescent="0.25">
      <c r="A21" s="3">
        <v>20</v>
      </c>
      <c r="B21" s="3" t="s">
        <v>48</v>
      </c>
      <c r="C21" s="3"/>
      <c r="D21" s="3" t="s">
        <v>49</v>
      </c>
      <c r="E21" s="3" t="s">
        <v>50</v>
      </c>
      <c r="F21" s="3" t="s">
        <v>70</v>
      </c>
      <c r="G21" s="4">
        <v>1</v>
      </c>
      <c r="H21" s="3" t="s">
        <v>266</v>
      </c>
      <c r="I21" s="4">
        <v>0.02</v>
      </c>
      <c r="J21" s="5">
        <v>1</v>
      </c>
      <c r="K21" s="4">
        <f>1</f>
        <v>1</v>
      </c>
      <c r="L21" s="4">
        <f t="shared" si="0"/>
        <v>0.02</v>
      </c>
      <c r="M21" s="4">
        <f t="shared" si="1"/>
        <v>0.14000000000000001</v>
      </c>
      <c r="N21" s="4">
        <f t="shared" si="2"/>
        <v>0.6</v>
      </c>
      <c r="O21" s="4">
        <f t="shared" si="3"/>
        <v>7.3</v>
      </c>
      <c r="P21" s="4">
        <f t="shared" si="4"/>
        <v>36.5</v>
      </c>
      <c r="Q21" s="4">
        <f t="shared" si="5"/>
        <v>73</v>
      </c>
      <c r="R21" s="5">
        <f t="shared" si="6"/>
        <v>1.3639884081511067E-3</v>
      </c>
      <c r="S21" s="5">
        <f t="shared" si="7"/>
        <v>2.7261552008939205E-5</v>
      </c>
      <c r="T21" s="5">
        <f t="shared" si="8"/>
        <v>1.90846471808781E-4</v>
      </c>
      <c r="U21" s="5">
        <f t="shared" si="9"/>
        <v>8.1816993115779724E-4</v>
      </c>
      <c r="V21" s="5">
        <f t="shared" si="10"/>
        <v>1.0000000000000009E-2</v>
      </c>
      <c r="W21" s="5">
        <f t="shared" si="11"/>
        <v>5.1010050099999926E-2</v>
      </c>
      <c r="X21" s="5">
        <f t="shared" si="12"/>
        <v>0.10462212541120475</v>
      </c>
      <c r="Y21" s="3" t="s">
        <v>267</v>
      </c>
      <c r="Z21" s="3" t="s">
        <v>15</v>
      </c>
    </row>
    <row r="22" spans="1:26" ht="34.15" customHeight="1" x14ac:dyDescent="0.25">
      <c r="A22" s="3">
        <v>21</v>
      </c>
      <c r="B22" s="3" t="s">
        <v>48</v>
      </c>
      <c r="C22" s="3"/>
      <c r="D22" s="3" t="s">
        <v>49</v>
      </c>
      <c r="E22" s="3" t="s">
        <v>50</v>
      </c>
      <c r="F22" s="3" t="s">
        <v>71</v>
      </c>
      <c r="G22" s="4">
        <v>-2</v>
      </c>
      <c r="H22" s="3" t="s">
        <v>266</v>
      </c>
      <c r="I22" s="4">
        <v>0.08</v>
      </c>
      <c r="J22" s="5">
        <v>0.6</v>
      </c>
      <c r="K22" s="4">
        <f>1</f>
        <v>1</v>
      </c>
      <c r="L22" s="4">
        <f t="shared" si="0"/>
        <v>0.08</v>
      </c>
      <c r="M22" s="4">
        <f t="shared" si="1"/>
        <v>0.56000000000000005</v>
      </c>
      <c r="N22" s="4">
        <f t="shared" si="2"/>
        <v>2.4</v>
      </c>
      <c r="O22" s="4">
        <f t="shared" si="3"/>
        <v>29.2</v>
      </c>
      <c r="P22" s="4">
        <f t="shared" si="4"/>
        <v>146</v>
      </c>
      <c r="Q22" s="4">
        <f t="shared" si="5"/>
        <v>292</v>
      </c>
      <c r="R22" s="5">
        <f t="shared" si="6"/>
        <v>-4.1335910639173079E-4</v>
      </c>
      <c r="S22" s="5">
        <f t="shared" si="7"/>
        <v>-3.3075018034955939E-5</v>
      </c>
      <c r="T22" s="5">
        <f t="shared" si="8"/>
        <v>-2.3150215441769539E-4</v>
      </c>
      <c r="U22" s="5">
        <f t="shared" si="9"/>
        <v>-9.9177481670065237E-4</v>
      </c>
      <c r="V22" s="5">
        <f t="shared" si="10"/>
        <v>-1.2000000000000011E-2</v>
      </c>
      <c r="W22" s="5">
        <f t="shared" si="11"/>
        <v>-5.857717656883199E-2</v>
      </c>
      <c r="X22" s="5">
        <f t="shared" si="12"/>
        <v>-0.11372306752288774</v>
      </c>
      <c r="Y22" s="3" t="s">
        <v>268</v>
      </c>
      <c r="Z22" s="3" t="s">
        <v>15</v>
      </c>
    </row>
    <row r="23" spans="1:26" ht="34.15" customHeight="1" x14ac:dyDescent="0.25">
      <c r="A23" s="3">
        <v>22</v>
      </c>
      <c r="B23" s="3" t="s">
        <v>48</v>
      </c>
      <c r="C23" s="3"/>
      <c r="D23" s="3" t="s">
        <v>49</v>
      </c>
      <c r="E23" s="3" t="s">
        <v>50</v>
      </c>
      <c r="F23" s="3" t="s">
        <v>72</v>
      </c>
      <c r="G23" s="4">
        <v>-30</v>
      </c>
      <c r="H23" s="3" t="s">
        <v>266</v>
      </c>
      <c r="I23" s="4">
        <v>0.2</v>
      </c>
      <c r="J23" s="5">
        <v>0.25</v>
      </c>
      <c r="K23" s="4">
        <f>1</f>
        <v>1</v>
      </c>
      <c r="L23" s="4">
        <f t="shared" si="0"/>
        <v>0.2</v>
      </c>
      <c r="M23" s="4">
        <f t="shared" si="1"/>
        <v>1.4000000000000001</v>
      </c>
      <c r="N23" s="4">
        <f t="shared" si="2"/>
        <v>6</v>
      </c>
      <c r="O23" s="4">
        <f t="shared" si="3"/>
        <v>73</v>
      </c>
      <c r="P23" s="4">
        <f t="shared" si="4"/>
        <v>365</v>
      </c>
      <c r="Q23" s="4">
        <f t="shared" si="5"/>
        <v>730</v>
      </c>
      <c r="R23" s="5">
        <f t="shared" si="6"/>
        <v>-1.0673962484286648E-3</v>
      </c>
      <c r="S23" s="5">
        <f t="shared" si="7"/>
        <v>-2.1357045488334947E-4</v>
      </c>
      <c r="T23" s="5">
        <f t="shared" si="8"/>
        <v>-1.4940356659378651E-3</v>
      </c>
      <c r="U23" s="5">
        <f t="shared" si="9"/>
        <v>-6.3873117722743622E-3</v>
      </c>
      <c r="V23" s="5">
        <f t="shared" si="10"/>
        <v>-7.4999999999999956E-2</v>
      </c>
      <c r="W23" s="5">
        <f t="shared" si="11"/>
        <v>-0.32281291992187489</v>
      </c>
      <c r="X23" s="5">
        <f t="shared" si="12"/>
        <v>-0.54141765857526303</v>
      </c>
      <c r="Y23" s="3" t="s">
        <v>269</v>
      </c>
      <c r="Z23" s="3" t="s">
        <v>15</v>
      </c>
    </row>
    <row r="24" spans="1:26" ht="34.15" customHeight="1" x14ac:dyDescent="0.25">
      <c r="A24" s="3">
        <v>23</v>
      </c>
      <c r="B24" s="3" t="s">
        <v>48</v>
      </c>
      <c r="C24" s="3"/>
      <c r="D24" s="3" t="s">
        <v>49</v>
      </c>
      <c r="E24" s="3" t="s">
        <v>73</v>
      </c>
      <c r="F24" s="3" t="s">
        <v>74</v>
      </c>
      <c r="G24" s="4">
        <v>9.9700000000000006</v>
      </c>
      <c r="H24" s="3" t="s">
        <v>266</v>
      </c>
      <c r="I24" s="4">
        <v>0.02</v>
      </c>
      <c r="J24" s="5">
        <v>1</v>
      </c>
      <c r="K24" s="4">
        <f>1</f>
        <v>1</v>
      </c>
      <c r="L24" s="4">
        <f t="shared" si="0"/>
        <v>0.02</v>
      </c>
      <c r="M24" s="4">
        <f t="shared" si="1"/>
        <v>0.14000000000000001</v>
      </c>
      <c r="N24" s="4">
        <f t="shared" si="2"/>
        <v>0.6</v>
      </c>
      <c r="O24" s="4">
        <f t="shared" si="3"/>
        <v>7.3</v>
      </c>
      <c r="P24" s="4">
        <f t="shared" si="4"/>
        <v>36.5</v>
      </c>
      <c r="Q24" s="4">
        <f t="shared" si="5"/>
        <v>73</v>
      </c>
      <c r="R24" s="5">
        <f t="shared" si="6"/>
        <v>1.3103937867544158E-2</v>
      </c>
      <c r="S24" s="5">
        <f t="shared" si="7"/>
        <v>2.6041038126711769E-4</v>
      </c>
      <c r="T24" s="5">
        <f t="shared" si="8"/>
        <v>1.8242973720090649E-3</v>
      </c>
      <c r="U24" s="5">
        <f t="shared" si="9"/>
        <v>7.8418821627046498E-3</v>
      </c>
      <c r="V24" s="5">
        <f t="shared" si="10"/>
        <v>9.96999999999999E-2</v>
      </c>
      <c r="W24" s="5">
        <f t="shared" si="11"/>
        <v>0.60831504757334387</v>
      </c>
      <c r="X24" s="5">
        <f t="shared" si="12"/>
        <v>1.586677292250847</v>
      </c>
      <c r="Y24" s="3" t="s">
        <v>267</v>
      </c>
      <c r="Z24" s="3" t="s">
        <v>15</v>
      </c>
    </row>
    <row r="25" spans="1:26" ht="34.15" customHeight="1" x14ac:dyDescent="0.25">
      <c r="A25" s="3">
        <v>24</v>
      </c>
      <c r="B25" s="3" t="s">
        <v>48</v>
      </c>
      <c r="C25" s="3"/>
      <c r="D25" s="3" t="s">
        <v>49</v>
      </c>
      <c r="E25" s="3" t="s">
        <v>73</v>
      </c>
      <c r="F25" s="3" t="s">
        <v>75</v>
      </c>
      <c r="G25" s="4">
        <v>9.65</v>
      </c>
      <c r="H25" s="3" t="s">
        <v>266</v>
      </c>
      <c r="I25" s="4">
        <v>0.02</v>
      </c>
      <c r="J25" s="5">
        <v>1</v>
      </c>
      <c r="K25" s="4">
        <f>1</f>
        <v>1</v>
      </c>
      <c r="L25" s="4">
        <f t="shared" si="0"/>
        <v>0.02</v>
      </c>
      <c r="M25" s="4">
        <f t="shared" si="1"/>
        <v>0.14000000000000001</v>
      </c>
      <c r="N25" s="4">
        <f t="shared" si="2"/>
        <v>0.6</v>
      </c>
      <c r="O25" s="4">
        <f t="shared" si="3"/>
        <v>7.3</v>
      </c>
      <c r="P25" s="4">
        <f t="shared" si="4"/>
        <v>36.5</v>
      </c>
      <c r="Q25" s="4">
        <f t="shared" si="5"/>
        <v>73</v>
      </c>
      <c r="R25" s="5">
        <f t="shared" si="6"/>
        <v>1.2699592142268123E-2</v>
      </c>
      <c r="S25" s="5">
        <f t="shared" si="7"/>
        <v>2.5242442594763936E-4</v>
      </c>
      <c r="T25" s="5">
        <f t="shared" si="8"/>
        <v>1.7683096246223773E-3</v>
      </c>
      <c r="U25" s="5">
        <f t="shared" si="9"/>
        <v>7.600515560392207E-3</v>
      </c>
      <c r="V25" s="5">
        <f t="shared" si="10"/>
        <v>9.650000000000003E-2</v>
      </c>
      <c r="W25" s="5">
        <f t="shared" si="11"/>
        <v>0.58505077953731877</v>
      </c>
      <c r="X25" s="5">
        <f t="shared" si="12"/>
        <v>1.5123859737118615</v>
      </c>
      <c r="Y25" s="3" t="s">
        <v>267</v>
      </c>
      <c r="Z25" s="3" t="s">
        <v>15</v>
      </c>
    </row>
    <row r="26" spans="1:26" ht="34.15" customHeight="1" x14ac:dyDescent="0.25">
      <c r="A26" s="3">
        <v>25</v>
      </c>
      <c r="B26" s="3" t="s">
        <v>48</v>
      </c>
      <c r="C26" s="3"/>
      <c r="D26" s="3" t="s">
        <v>49</v>
      </c>
      <c r="E26" s="3" t="s">
        <v>73</v>
      </c>
      <c r="F26" s="3" t="s">
        <v>76</v>
      </c>
      <c r="G26" s="4">
        <v>9.4</v>
      </c>
      <c r="H26" s="3" t="s">
        <v>266</v>
      </c>
      <c r="I26" s="4">
        <v>0.02</v>
      </c>
      <c r="J26" s="5">
        <v>1</v>
      </c>
      <c r="K26" s="4">
        <f>1</f>
        <v>1</v>
      </c>
      <c r="L26" s="4">
        <f t="shared" si="0"/>
        <v>0.02</v>
      </c>
      <c r="M26" s="4">
        <f t="shared" si="1"/>
        <v>0.14000000000000001</v>
      </c>
      <c r="N26" s="4">
        <f t="shared" si="2"/>
        <v>0.6</v>
      </c>
      <c r="O26" s="4">
        <f t="shared" si="3"/>
        <v>7.3</v>
      </c>
      <c r="P26" s="4">
        <f t="shared" si="4"/>
        <v>36.5</v>
      </c>
      <c r="Q26" s="4">
        <f t="shared" si="5"/>
        <v>73</v>
      </c>
      <c r="R26" s="5">
        <f t="shared" si="6"/>
        <v>1.238298783870051E-2</v>
      </c>
      <c r="S26" s="5">
        <f t="shared" si="7"/>
        <v>2.4616920973619116E-4</v>
      </c>
      <c r="T26" s="5">
        <f t="shared" si="8"/>
        <v>1.7244575752768387E-3</v>
      </c>
      <c r="U26" s="5">
        <f t="shared" si="9"/>
        <v>7.4114976453436565E-3</v>
      </c>
      <c r="V26" s="5">
        <f t="shared" si="10"/>
        <v>9.4000000000000083E-2</v>
      </c>
      <c r="W26" s="5">
        <f t="shared" si="11"/>
        <v>0.56706355352022464</v>
      </c>
      <c r="X26" s="5">
        <f t="shared" si="12"/>
        <v>1.4556881807714337</v>
      </c>
      <c r="Y26" s="3" t="s">
        <v>267</v>
      </c>
      <c r="Z26" s="3" t="s">
        <v>15</v>
      </c>
    </row>
    <row r="27" spans="1:26" ht="34.15" customHeight="1" x14ac:dyDescent="0.25">
      <c r="A27" s="3">
        <v>26</v>
      </c>
      <c r="B27" s="3" t="s">
        <v>48</v>
      </c>
      <c r="C27" s="3"/>
      <c r="D27" s="3" t="s">
        <v>49</v>
      </c>
      <c r="E27" s="3" t="s">
        <v>73</v>
      </c>
      <c r="F27" s="3" t="s">
        <v>77</v>
      </c>
      <c r="G27" s="4">
        <v>9</v>
      </c>
      <c r="H27" s="3" t="s">
        <v>266</v>
      </c>
      <c r="I27" s="4">
        <v>0.02</v>
      </c>
      <c r="J27" s="5">
        <v>1</v>
      </c>
      <c r="K27" s="4">
        <f>1</f>
        <v>1</v>
      </c>
      <c r="L27" s="4">
        <f t="shared" si="0"/>
        <v>0.02</v>
      </c>
      <c r="M27" s="4">
        <f t="shared" si="1"/>
        <v>0.14000000000000001</v>
      </c>
      <c r="N27" s="4">
        <f t="shared" si="2"/>
        <v>0.6</v>
      </c>
      <c r="O27" s="4">
        <f t="shared" si="3"/>
        <v>7.3</v>
      </c>
      <c r="P27" s="4">
        <f t="shared" si="4"/>
        <v>36.5</v>
      </c>
      <c r="Q27" s="4">
        <f t="shared" si="5"/>
        <v>73</v>
      </c>
      <c r="R27" s="5">
        <f t="shared" si="6"/>
        <v>1.1875119825105918E-2</v>
      </c>
      <c r="S27" s="5">
        <f t="shared" si="7"/>
        <v>2.3613115194520695E-4</v>
      </c>
      <c r="T27" s="5">
        <f t="shared" si="8"/>
        <v>1.6540894408811901E-3</v>
      </c>
      <c r="U27" s="5">
        <f t="shared" si="9"/>
        <v>7.1082427939621606E-3</v>
      </c>
      <c r="V27" s="5">
        <f t="shared" si="10"/>
        <v>9.000000000000008E-2</v>
      </c>
      <c r="W27" s="5">
        <f t="shared" si="11"/>
        <v>0.53862395490000048</v>
      </c>
      <c r="X27" s="5">
        <f t="shared" si="12"/>
        <v>1.3673636745921187</v>
      </c>
      <c r="Y27" s="3" t="s">
        <v>267</v>
      </c>
      <c r="Z27" s="3" t="s">
        <v>15</v>
      </c>
    </row>
    <row r="28" spans="1:26" ht="34.15" customHeight="1" x14ac:dyDescent="0.25">
      <c r="A28" s="3">
        <v>27</v>
      </c>
      <c r="B28" s="3" t="s">
        <v>48</v>
      </c>
      <c r="C28" s="3"/>
      <c r="D28" s="3" t="s">
        <v>49</v>
      </c>
      <c r="E28" s="3" t="s">
        <v>73</v>
      </c>
      <c r="F28" s="3" t="s">
        <v>78</v>
      </c>
      <c r="G28" s="4">
        <v>8.5</v>
      </c>
      <c r="H28" s="3" t="s">
        <v>266</v>
      </c>
      <c r="I28" s="4">
        <v>0.02</v>
      </c>
      <c r="J28" s="5">
        <v>1</v>
      </c>
      <c r="K28" s="4">
        <f>1</f>
        <v>1</v>
      </c>
      <c r="L28" s="4">
        <f t="shared" si="0"/>
        <v>0.02</v>
      </c>
      <c r="M28" s="4">
        <f t="shared" si="1"/>
        <v>0.14000000000000001</v>
      </c>
      <c r="N28" s="4">
        <f t="shared" si="2"/>
        <v>0.6</v>
      </c>
      <c r="O28" s="4">
        <f t="shared" si="3"/>
        <v>7.3</v>
      </c>
      <c r="P28" s="4">
        <f t="shared" si="4"/>
        <v>36.5</v>
      </c>
      <c r="Q28" s="4">
        <f t="shared" si="5"/>
        <v>73</v>
      </c>
      <c r="R28" s="5">
        <f t="shared" si="6"/>
        <v>1.1238018066364486E-2</v>
      </c>
      <c r="S28" s="5">
        <f t="shared" si="7"/>
        <v>2.2353179318668204E-4</v>
      </c>
      <c r="T28" s="5">
        <f t="shared" si="8"/>
        <v>1.5657722390267637E-3</v>
      </c>
      <c r="U28" s="5">
        <f t="shared" si="9"/>
        <v>6.7277346218359568E-3</v>
      </c>
      <c r="V28" s="5">
        <f t="shared" si="10"/>
        <v>8.4999999999999964E-2</v>
      </c>
      <c r="W28" s="5">
        <f t="shared" si="11"/>
        <v>0.50365669017812476</v>
      </c>
      <c r="X28" s="5">
        <f t="shared" si="12"/>
        <v>1.2609834419174333</v>
      </c>
      <c r="Y28" s="3" t="s">
        <v>267</v>
      </c>
      <c r="Z28" s="3" t="s">
        <v>15</v>
      </c>
    </row>
    <row r="29" spans="1:26" ht="34.15" customHeight="1" x14ac:dyDescent="0.25">
      <c r="A29" s="3">
        <v>28</v>
      </c>
      <c r="B29" s="3" t="s">
        <v>48</v>
      </c>
      <c r="C29" s="3"/>
      <c r="D29" s="3" t="s">
        <v>49</v>
      </c>
      <c r="E29" s="3" t="s">
        <v>73</v>
      </c>
      <c r="F29" s="3" t="s">
        <v>79</v>
      </c>
      <c r="G29" s="4">
        <v>6.4</v>
      </c>
      <c r="H29" s="3" t="s">
        <v>266</v>
      </c>
      <c r="I29" s="4">
        <v>0.02</v>
      </c>
      <c r="J29" s="5">
        <v>1</v>
      </c>
      <c r="K29" s="4">
        <f>1</f>
        <v>1</v>
      </c>
      <c r="L29" s="4">
        <f t="shared" si="0"/>
        <v>0.02</v>
      </c>
      <c r="M29" s="4">
        <f t="shared" si="1"/>
        <v>0.14000000000000001</v>
      </c>
      <c r="N29" s="4">
        <f t="shared" si="2"/>
        <v>0.6</v>
      </c>
      <c r="O29" s="4">
        <f t="shared" si="3"/>
        <v>7.3</v>
      </c>
      <c r="P29" s="4">
        <f t="shared" si="4"/>
        <v>36.5</v>
      </c>
      <c r="Q29" s="4">
        <f t="shared" si="5"/>
        <v>73</v>
      </c>
      <c r="R29" s="5">
        <f t="shared" si="6"/>
        <v>8.5342092470750419E-3</v>
      </c>
      <c r="S29" s="5">
        <f t="shared" si="7"/>
        <v>1.6997441913657596E-4</v>
      </c>
      <c r="T29" s="5">
        <f t="shared" si="8"/>
        <v>1.190427823229534E-3</v>
      </c>
      <c r="U29" s="5">
        <f t="shared" si="9"/>
        <v>5.1118202516466926E-3</v>
      </c>
      <c r="V29" s="5">
        <f t="shared" si="10"/>
        <v>6.4000000000000057E-2</v>
      </c>
      <c r="W29" s="5">
        <f t="shared" si="11"/>
        <v>0.36366639982182458</v>
      </c>
      <c r="X29" s="5">
        <f t="shared" si="12"/>
        <v>0.85958605000301636</v>
      </c>
      <c r="Y29" s="3" t="s">
        <v>267</v>
      </c>
      <c r="Z29" s="3" t="s">
        <v>15</v>
      </c>
    </row>
    <row r="30" spans="1:26" ht="34.15" customHeight="1" x14ac:dyDescent="0.25">
      <c r="A30" s="3">
        <v>29</v>
      </c>
      <c r="B30" s="3" t="s">
        <v>48</v>
      </c>
      <c r="C30" s="3"/>
      <c r="D30" s="3" t="s">
        <v>49</v>
      </c>
      <c r="E30" s="3" t="s">
        <v>73</v>
      </c>
      <c r="F30" s="3" t="s">
        <v>80</v>
      </c>
      <c r="G30" s="4">
        <v>4</v>
      </c>
      <c r="H30" s="3" t="s">
        <v>266</v>
      </c>
      <c r="I30" s="4">
        <v>0.02</v>
      </c>
      <c r="J30" s="5">
        <v>1</v>
      </c>
      <c r="K30" s="4">
        <f>1</f>
        <v>1</v>
      </c>
      <c r="L30" s="4">
        <f t="shared" si="0"/>
        <v>0.02</v>
      </c>
      <c r="M30" s="4">
        <f t="shared" si="1"/>
        <v>0.14000000000000001</v>
      </c>
      <c r="N30" s="4">
        <f t="shared" si="2"/>
        <v>0.6</v>
      </c>
      <c r="O30" s="4">
        <f t="shared" si="3"/>
        <v>7.3</v>
      </c>
      <c r="P30" s="4">
        <f t="shared" si="4"/>
        <v>36.5</v>
      </c>
      <c r="Q30" s="4">
        <f t="shared" si="5"/>
        <v>73</v>
      </c>
      <c r="R30" s="5">
        <f t="shared" si="6"/>
        <v>5.3871592696590476E-3</v>
      </c>
      <c r="S30" s="5">
        <f t="shared" si="7"/>
        <v>1.0745978202786333E-4</v>
      </c>
      <c r="T30" s="5">
        <f t="shared" si="8"/>
        <v>7.5246101733150716E-4</v>
      </c>
      <c r="U30" s="5">
        <f t="shared" si="9"/>
        <v>3.2288217106277717E-3</v>
      </c>
      <c r="V30" s="5">
        <f t="shared" si="10"/>
        <v>4.0000000000000036E-2</v>
      </c>
      <c r="W30" s="5">
        <f t="shared" si="11"/>
        <v>0.21665290240000035</v>
      </c>
      <c r="X30" s="5">
        <f t="shared" si="12"/>
        <v>0.48024428491834459</v>
      </c>
      <c r="Y30" s="3" t="s">
        <v>267</v>
      </c>
      <c r="Z30" s="3" t="s">
        <v>15</v>
      </c>
    </row>
    <row r="31" spans="1:26" ht="34.15" customHeight="1" x14ac:dyDescent="0.25">
      <c r="A31" s="3">
        <v>30</v>
      </c>
      <c r="B31" s="3" t="s">
        <v>48</v>
      </c>
      <c r="C31" s="3"/>
      <c r="D31" s="3" t="s">
        <v>49</v>
      </c>
      <c r="E31" s="3" t="s">
        <v>81</v>
      </c>
      <c r="F31" s="3" t="s">
        <v>82</v>
      </c>
      <c r="G31" s="4">
        <v>8</v>
      </c>
      <c r="H31" s="3" t="s">
        <v>266</v>
      </c>
      <c r="I31" s="4">
        <v>0.02</v>
      </c>
      <c r="J31" s="5">
        <v>1</v>
      </c>
      <c r="K31" s="4">
        <f>1</f>
        <v>1</v>
      </c>
      <c r="L31" s="4">
        <f t="shared" si="0"/>
        <v>0.02</v>
      </c>
      <c r="M31" s="4">
        <f t="shared" si="1"/>
        <v>0.14000000000000001</v>
      </c>
      <c r="N31" s="4">
        <f t="shared" si="2"/>
        <v>0.6</v>
      </c>
      <c r="O31" s="4">
        <f t="shared" si="3"/>
        <v>7.3</v>
      </c>
      <c r="P31" s="4">
        <f t="shared" si="4"/>
        <v>36.5</v>
      </c>
      <c r="Q31" s="4">
        <f t="shared" si="5"/>
        <v>73</v>
      </c>
      <c r="R31" s="5">
        <f t="shared" si="6"/>
        <v>1.0598377482134325E-2</v>
      </c>
      <c r="S31" s="5">
        <f t="shared" si="7"/>
        <v>2.1087439837685906E-4</v>
      </c>
      <c r="T31" s="5">
        <f t="shared" si="8"/>
        <v>1.4770549451583737E-3</v>
      </c>
      <c r="U31" s="5">
        <f t="shared" si="9"/>
        <v>6.3456136620225756E-3</v>
      </c>
      <c r="V31" s="5">
        <f t="shared" si="10"/>
        <v>8.0000000000000071E-2</v>
      </c>
      <c r="W31" s="5">
        <f t="shared" si="11"/>
        <v>0.46932807680000033</v>
      </c>
      <c r="X31" s="5">
        <f t="shared" si="12"/>
        <v>1.1589249972727877</v>
      </c>
      <c r="Y31" s="3" t="s">
        <v>267</v>
      </c>
      <c r="Z31" s="3" t="s">
        <v>15</v>
      </c>
    </row>
    <row r="32" spans="1:26" ht="34.15" customHeight="1" x14ac:dyDescent="0.25">
      <c r="A32" s="3">
        <v>31</v>
      </c>
      <c r="B32" s="3" t="s">
        <v>48</v>
      </c>
      <c r="C32" s="3"/>
      <c r="D32" s="3" t="s">
        <v>49</v>
      </c>
      <c r="E32" s="3" t="s">
        <v>81</v>
      </c>
      <c r="F32" s="3" t="s">
        <v>83</v>
      </c>
      <c r="G32" s="4">
        <v>6.3</v>
      </c>
      <c r="H32" s="3" t="s">
        <v>266</v>
      </c>
      <c r="I32" s="4">
        <v>0.02</v>
      </c>
      <c r="J32" s="5">
        <v>1</v>
      </c>
      <c r="K32" s="4">
        <f>1</f>
        <v>1</v>
      </c>
      <c r="L32" s="4">
        <f t="shared" si="0"/>
        <v>0.02</v>
      </c>
      <c r="M32" s="4">
        <f t="shared" si="1"/>
        <v>0.14000000000000001</v>
      </c>
      <c r="N32" s="4">
        <f t="shared" si="2"/>
        <v>0.6</v>
      </c>
      <c r="O32" s="4">
        <f t="shared" si="3"/>
        <v>7.3</v>
      </c>
      <c r="P32" s="4">
        <f t="shared" si="4"/>
        <v>36.5</v>
      </c>
      <c r="Q32" s="4">
        <f t="shared" si="5"/>
        <v>73</v>
      </c>
      <c r="R32" s="5">
        <f t="shared" si="6"/>
        <v>8.4043112837497436E-3</v>
      </c>
      <c r="S32" s="5">
        <f t="shared" si="7"/>
        <v>1.673978433180956E-4</v>
      </c>
      <c r="T32" s="5">
        <f t="shared" si="8"/>
        <v>1.1723735302298088E-3</v>
      </c>
      <c r="U32" s="5">
        <f t="shared" si="9"/>
        <v>5.0341439523515774E-3</v>
      </c>
      <c r="V32" s="5">
        <f t="shared" si="10"/>
        <v>6.2999999999999945E-2</v>
      </c>
      <c r="W32" s="5">
        <f t="shared" si="11"/>
        <v>0.35727022724154245</v>
      </c>
      <c r="X32" s="5">
        <f t="shared" si="12"/>
        <v>0.84218246975630828</v>
      </c>
      <c r="Y32" s="3" t="s">
        <v>267</v>
      </c>
      <c r="Z32" s="3" t="s">
        <v>15</v>
      </c>
    </row>
    <row r="33" spans="1:26" ht="34.15" customHeight="1" x14ac:dyDescent="0.25">
      <c r="A33" s="3">
        <v>32</v>
      </c>
      <c r="B33" s="3" t="s">
        <v>48</v>
      </c>
      <c r="C33" s="3"/>
      <c r="D33" s="3" t="s">
        <v>49</v>
      </c>
      <c r="E33" s="3" t="s">
        <v>81</v>
      </c>
      <c r="F33" s="3" t="s">
        <v>84</v>
      </c>
      <c r="G33" s="4">
        <v>7.2</v>
      </c>
      <c r="H33" s="3" t="s">
        <v>266</v>
      </c>
      <c r="I33" s="4">
        <v>0.02</v>
      </c>
      <c r="J33" s="5">
        <v>1</v>
      </c>
      <c r="K33" s="4">
        <f>1</f>
        <v>1</v>
      </c>
      <c r="L33" s="4">
        <f t="shared" si="0"/>
        <v>0.02</v>
      </c>
      <c r="M33" s="4">
        <f t="shared" si="1"/>
        <v>0.14000000000000001</v>
      </c>
      <c r="N33" s="4">
        <f t="shared" si="2"/>
        <v>0.6</v>
      </c>
      <c r="O33" s="4">
        <f t="shared" si="3"/>
        <v>7.3</v>
      </c>
      <c r="P33" s="4">
        <f t="shared" si="4"/>
        <v>36.5</v>
      </c>
      <c r="Q33" s="4">
        <f t="shared" si="5"/>
        <v>73</v>
      </c>
      <c r="R33" s="5">
        <f t="shared" si="6"/>
        <v>9.5696169149328547E-3</v>
      </c>
      <c r="S33" s="5">
        <f t="shared" si="7"/>
        <v>1.9050050633828697E-4</v>
      </c>
      <c r="T33" s="5">
        <f t="shared" si="8"/>
        <v>1.3342658856818623E-3</v>
      </c>
      <c r="U33" s="5">
        <f t="shared" si="9"/>
        <v>5.730829637133672E-3</v>
      </c>
      <c r="V33" s="5">
        <f t="shared" si="10"/>
        <v>7.2000000000000064E-2</v>
      </c>
      <c r="W33" s="5">
        <f t="shared" si="11"/>
        <v>0.41570878419763257</v>
      </c>
      <c r="X33" s="5">
        <f t="shared" si="12"/>
        <v>1.0042313616543397</v>
      </c>
      <c r="Y33" s="3" t="s">
        <v>267</v>
      </c>
      <c r="Z33" s="3" t="s">
        <v>15</v>
      </c>
    </row>
    <row r="34" spans="1:26" ht="34.15" customHeight="1" x14ac:dyDescent="0.25">
      <c r="A34" s="3">
        <v>33</v>
      </c>
      <c r="B34" s="3" t="s">
        <v>48</v>
      </c>
      <c r="C34" s="3"/>
      <c r="D34" s="3" t="s">
        <v>49</v>
      </c>
      <c r="E34" s="3" t="s">
        <v>81</v>
      </c>
      <c r="F34" s="3" t="s">
        <v>85</v>
      </c>
      <c r="G34" s="4">
        <v>6.8</v>
      </c>
      <c r="H34" s="3" t="s">
        <v>266</v>
      </c>
      <c r="I34" s="4">
        <v>0.02</v>
      </c>
      <c r="J34" s="5">
        <v>1</v>
      </c>
      <c r="K34" s="4">
        <f>1</f>
        <v>1</v>
      </c>
      <c r="L34" s="4">
        <f t="shared" ref="L34:L65" si="13">I34</f>
        <v>0.02</v>
      </c>
      <c r="M34" s="4">
        <f t="shared" ref="M34:M65" si="14">I34*7</f>
        <v>0.14000000000000001</v>
      </c>
      <c r="N34" s="4">
        <f t="shared" ref="N34:N65" si="15">I34*30</f>
        <v>0.6</v>
      </c>
      <c r="O34" s="4">
        <f t="shared" ref="O34:O65" si="16">I34*365</f>
        <v>7.3</v>
      </c>
      <c r="P34" s="4">
        <f t="shared" ref="P34:P65" si="17">I34*1825</f>
        <v>36.5</v>
      </c>
      <c r="Q34" s="4">
        <f t="shared" ref="Q34:Q65" si="18">I34*3650</f>
        <v>73</v>
      </c>
      <c r="R34" s="5">
        <f t="shared" ref="R34:R65" si="19">IF(D34="Linear",K34*J34*(G34/100),IF(I34&gt;0,(1+((G34/100)*J34))^(1/(I34*365))-1,0))</f>
        <v>9.0527497600429996E-3</v>
      </c>
      <c r="S34" s="5">
        <f t="shared" ref="S34:S65" si="20">IF(D34="Linear",L34*J34*(G34/100),(1+((G34/100)*J34))^(1/365)-1)</f>
        <v>1.8025662930987174E-4</v>
      </c>
      <c r="T34" s="5">
        <f t="shared" ref="T34:T65" si="21">IF(D34="Linear",M34*J34*(G34/100),(1+((G34/100)*J34))^(7/365)-1)</f>
        <v>1.2624789517001744E-3</v>
      </c>
      <c r="U34" s="5">
        <f t="shared" ref="U34:U65" si="22">IF(D34="Linear",N34*J34*(G34/100),(1+((G34/100)*J34))^(30/365)-1)</f>
        <v>5.421856904390232E-3</v>
      </c>
      <c r="V34" s="5">
        <f t="shared" ref="V34:V65" si="23">IF(D34="Linear",O34*J34*(G34/100),(1+((G34/100)*J34))-1)</f>
        <v>6.800000000000006E-2</v>
      </c>
      <c r="W34" s="5">
        <f t="shared" ref="W34:W65" si="24">IF(D34="Linear",P34*J34*(G34/100),(1+((G34/100)*J34))^5-1)</f>
        <v>0.38949268081356836</v>
      </c>
      <c r="X34" s="5">
        <f t="shared" ref="X34:X65" si="25">IF(D34="Linear",Q34*J34*(G34/100),(1+((G34/100)*J34))^10-1)</f>
        <v>0.93068991003447699</v>
      </c>
      <c r="Y34" s="3" t="s">
        <v>267</v>
      </c>
      <c r="Z34" s="3" t="s">
        <v>15</v>
      </c>
    </row>
    <row r="35" spans="1:26" ht="34.15" customHeight="1" x14ac:dyDescent="0.25">
      <c r="A35" s="3">
        <v>1</v>
      </c>
      <c r="B35" s="3" t="s">
        <v>86</v>
      </c>
      <c r="C35" s="3"/>
      <c r="D35" s="3" t="s">
        <v>49</v>
      </c>
      <c r="E35" s="3" t="s">
        <v>50</v>
      </c>
      <c r="F35" s="3" t="s">
        <v>87</v>
      </c>
      <c r="G35" s="4">
        <v>5.5</v>
      </c>
      <c r="H35" s="3" t="s">
        <v>266</v>
      </c>
      <c r="I35" s="4">
        <v>0.01</v>
      </c>
      <c r="J35" s="5">
        <v>1</v>
      </c>
      <c r="K35" s="4">
        <f>1</f>
        <v>1</v>
      </c>
      <c r="L35" s="4">
        <f t="shared" si="13"/>
        <v>0.01</v>
      </c>
      <c r="M35" s="4">
        <f t="shared" si="14"/>
        <v>7.0000000000000007E-2</v>
      </c>
      <c r="N35" s="4">
        <f t="shared" si="15"/>
        <v>0.3</v>
      </c>
      <c r="O35" s="4">
        <f t="shared" si="16"/>
        <v>3.65</v>
      </c>
      <c r="P35" s="4">
        <f t="shared" si="17"/>
        <v>18.25</v>
      </c>
      <c r="Q35" s="4">
        <f t="shared" si="18"/>
        <v>36.5</v>
      </c>
      <c r="R35" s="5">
        <f t="shared" si="19"/>
        <v>1.4776816676751015E-2</v>
      </c>
      <c r="S35" s="5">
        <f t="shared" si="20"/>
        <v>1.466977917483625E-4</v>
      </c>
      <c r="T35" s="5">
        <f t="shared" si="21"/>
        <v>1.027336577833049E-3</v>
      </c>
      <c r="U35" s="5">
        <f t="shared" si="22"/>
        <v>4.4103078877744117E-3</v>
      </c>
      <c r="V35" s="5">
        <f t="shared" si="23"/>
        <v>5.4999999999999938E-2</v>
      </c>
      <c r="W35" s="5">
        <f t="shared" si="24"/>
        <v>0.30696000640937471</v>
      </c>
      <c r="X35" s="5">
        <f t="shared" si="25"/>
        <v>0.70814445835359296</v>
      </c>
      <c r="Y35" s="3" t="s">
        <v>270</v>
      </c>
      <c r="Z35" s="3" t="s">
        <v>15</v>
      </c>
    </row>
    <row r="36" spans="1:26" ht="34.15" customHeight="1" x14ac:dyDescent="0.25">
      <c r="A36" s="3">
        <v>2</v>
      </c>
      <c r="B36" s="3" t="s">
        <v>86</v>
      </c>
      <c r="C36" s="3"/>
      <c r="D36" s="3" t="s">
        <v>49</v>
      </c>
      <c r="E36" s="3" t="s">
        <v>50</v>
      </c>
      <c r="F36" s="3" t="s">
        <v>88</v>
      </c>
      <c r="G36" s="4">
        <v>5</v>
      </c>
      <c r="H36" s="3" t="s">
        <v>266</v>
      </c>
      <c r="I36" s="4">
        <v>0.01</v>
      </c>
      <c r="J36" s="5">
        <v>1</v>
      </c>
      <c r="K36" s="4">
        <f>1</f>
        <v>1</v>
      </c>
      <c r="L36" s="4">
        <f t="shared" si="13"/>
        <v>0.01</v>
      </c>
      <c r="M36" s="4">
        <f t="shared" si="14"/>
        <v>7.0000000000000007E-2</v>
      </c>
      <c r="N36" s="4">
        <f t="shared" si="15"/>
        <v>0.3</v>
      </c>
      <c r="O36" s="4">
        <f t="shared" si="16"/>
        <v>3.65</v>
      </c>
      <c r="P36" s="4">
        <f t="shared" si="17"/>
        <v>18.25</v>
      </c>
      <c r="Q36" s="4">
        <f t="shared" si="18"/>
        <v>36.5</v>
      </c>
      <c r="R36" s="5">
        <f t="shared" si="19"/>
        <v>1.3456908270089274E-2</v>
      </c>
      <c r="S36" s="5">
        <f t="shared" si="20"/>
        <v>1.3368061711349633E-4</v>
      </c>
      <c r="T36" s="5">
        <f t="shared" si="21"/>
        <v>9.3613968407346704E-4</v>
      </c>
      <c r="U36" s="5">
        <f t="shared" si="22"/>
        <v>4.0182018919749929E-3</v>
      </c>
      <c r="V36" s="5">
        <f t="shared" si="23"/>
        <v>5.0000000000000044E-2</v>
      </c>
      <c r="W36" s="5">
        <f t="shared" si="24"/>
        <v>0.27628156250000013</v>
      </c>
      <c r="X36" s="5">
        <f t="shared" si="25"/>
        <v>0.62889462677744157</v>
      </c>
      <c r="Y36" s="3" t="s">
        <v>270</v>
      </c>
      <c r="Z36" s="3" t="s">
        <v>15</v>
      </c>
    </row>
    <row r="37" spans="1:26" ht="34.15" customHeight="1" x14ac:dyDescent="0.25">
      <c r="A37" s="3">
        <v>3</v>
      </c>
      <c r="B37" s="3" t="s">
        <v>86</v>
      </c>
      <c r="C37" s="3"/>
      <c r="D37" s="3" t="s">
        <v>49</v>
      </c>
      <c r="E37" s="3" t="s">
        <v>50</v>
      </c>
      <c r="F37" s="3" t="s">
        <v>89</v>
      </c>
      <c r="G37" s="4">
        <v>4.5</v>
      </c>
      <c r="H37" s="3" t="s">
        <v>266</v>
      </c>
      <c r="I37" s="4">
        <v>0.01</v>
      </c>
      <c r="J37" s="5">
        <v>1</v>
      </c>
      <c r="K37" s="4">
        <f>1</f>
        <v>1</v>
      </c>
      <c r="L37" s="4">
        <f t="shared" si="13"/>
        <v>0.01</v>
      </c>
      <c r="M37" s="4">
        <f t="shared" si="14"/>
        <v>7.0000000000000007E-2</v>
      </c>
      <c r="N37" s="4">
        <f t="shared" si="15"/>
        <v>0.3</v>
      </c>
      <c r="O37" s="4">
        <f t="shared" si="16"/>
        <v>3.65</v>
      </c>
      <c r="P37" s="4">
        <f t="shared" si="17"/>
        <v>18.25</v>
      </c>
      <c r="Q37" s="4">
        <f t="shared" si="18"/>
        <v>36.5</v>
      </c>
      <c r="R37" s="5">
        <f t="shared" si="19"/>
        <v>1.2132428658361061E-2</v>
      </c>
      <c r="S37" s="5">
        <f t="shared" si="20"/>
        <v>1.2060147839498825E-4</v>
      </c>
      <c r="T37" s="5">
        <f t="shared" si="21"/>
        <v>8.4451584921452216E-4</v>
      </c>
      <c r="U37" s="5">
        <f t="shared" si="22"/>
        <v>3.6243784310707738E-3</v>
      </c>
      <c r="V37" s="5">
        <f t="shared" si="23"/>
        <v>4.4999999999999929E-2</v>
      </c>
      <c r="W37" s="5">
        <f t="shared" si="24"/>
        <v>0.24618193765312446</v>
      </c>
      <c r="X37" s="5">
        <f t="shared" si="25"/>
        <v>0.55296942173289532</v>
      </c>
      <c r="Y37" s="3" t="s">
        <v>270</v>
      </c>
      <c r="Z37" s="3" t="s">
        <v>15</v>
      </c>
    </row>
    <row r="38" spans="1:26" ht="34.15" customHeight="1" x14ac:dyDescent="0.25">
      <c r="A38" s="3">
        <v>4</v>
      </c>
      <c r="B38" s="3" t="s">
        <v>86</v>
      </c>
      <c r="C38" s="3"/>
      <c r="D38" s="3" t="s">
        <v>49</v>
      </c>
      <c r="E38" s="3" t="s">
        <v>50</v>
      </c>
      <c r="F38" s="3" t="s">
        <v>90</v>
      </c>
      <c r="G38" s="4">
        <v>4.3</v>
      </c>
      <c r="H38" s="3" t="s">
        <v>266</v>
      </c>
      <c r="I38" s="4">
        <v>0.01</v>
      </c>
      <c r="J38" s="5">
        <v>1</v>
      </c>
      <c r="K38" s="4">
        <f>1</f>
        <v>1</v>
      </c>
      <c r="L38" s="4">
        <f t="shared" si="13"/>
        <v>0.01</v>
      </c>
      <c r="M38" s="4">
        <f t="shared" si="14"/>
        <v>7.0000000000000007E-2</v>
      </c>
      <c r="N38" s="4">
        <f t="shared" si="15"/>
        <v>0.3</v>
      </c>
      <c r="O38" s="4">
        <f t="shared" si="16"/>
        <v>3.65</v>
      </c>
      <c r="P38" s="4">
        <f t="shared" si="17"/>
        <v>18.25</v>
      </c>
      <c r="Q38" s="4">
        <f t="shared" si="18"/>
        <v>36.5</v>
      </c>
      <c r="R38" s="5">
        <f t="shared" si="19"/>
        <v>1.1601348421773849E-2</v>
      </c>
      <c r="S38" s="5">
        <f t="shared" si="20"/>
        <v>1.1535234029191876E-4</v>
      </c>
      <c r="T38" s="5">
        <f t="shared" si="21"/>
        <v>8.0774586518161939E-4</v>
      </c>
      <c r="U38" s="5">
        <f t="shared" si="22"/>
        <v>3.4663646259427416E-3</v>
      </c>
      <c r="V38" s="5">
        <f t="shared" si="23"/>
        <v>4.2999999999999927E-2</v>
      </c>
      <c r="W38" s="5">
        <f t="shared" si="24"/>
        <v>0.23430231101344257</v>
      </c>
      <c r="X38" s="5">
        <f t="shared" si="25"/>
        <v>0.52350219497312511</v>
      </c>
      <c r="Y38" s="3" t="s">
        <v>270</v>
      </c>
      <c r="Z38" s="3" t="s">
        <v>15</v>
      </c>
    </row>
    <row r="39" spans="1:26" ht="34.15" customHeight="1" x14ac:dyDescent="0.25">
      <c r="A39" s="3">
        <v>5</v>
      </c>
      <c r="B39" s="3" t="s">
        <v>86</v>
      </c>
      <c r="C39" s="3"/>
      <c r="D39" s="3" t="s">
        <v>49</v>
      </c>
      <c r="E39" s="3" t="s">
        <v>50</v>
      </c>
      <c r="F39" s="3" t="s">
        <v>91</v>
      </c>
      <c r="G39" s="4">
        <v>4</v>
      </c>
      <c r="H39" s="3" t="s">
        <v>266</v>
      </c>
      <c r="I39" s="4">
        <v>0.01</v>
      </c>
      <c r="J39" s="5">
        <v>1</v>
      </c>
      <c r="K39" s="4">
        <f>1</f>
        <v>1</v>
      </c>
      <c r="L39" s="4">
        <f t="shared" si="13"/>
        <v>0.01</v>
      </c>
      <c r="M39" s="4">
        <f t="shared" si="14"/>
        <v>7.0000000000000007E-2</v>
      </c>
      <c r="N39" s="4">
        <f t="shared" si="15"/>
        <v>0.3</v>
      </c>
      <c r="O39" s="4">
        <f t="shared" si="16"/>
        <v>3.65</v>
      </c>
      <c r="P39" s="4">
        <f t="shared" si="17"/>
        <v>18.25</v>
      </c>
      <c r="Q39" s="4">
        <f t="shared" si="18"/>
        <v>36.5</v>
      </c>
      <c r="R39" s="5">
        <f t="shared" si="19"/>
        <v>1.08033400243146E-2</v>
      </c>
      <c r="S39" s="5">
        <f t="shared" si="20"/>
        <v>1.0745978202786333E-4</v>
      </c>
      <c r="T39" s="5">
        <f t="shared" si="21"/>
        <v>7.5246101733150716E-4</v>
      </c>
      <c r="U39" s="5">
        <f t="shared" si="22"/>
        <v>3.2288217106277717E-3</v>
      </c>
      <c r="V39" s="5">
        <f t="shared" si="23"/>
        <v>4.0000000000000036E-2</v>
      </c>
      <c r="W39" s="5">
        <f t="shared" si="24"/>
        <v>0.21665290240000035</v>
      </c>
      <c r="X39" s="5">
        <f t="shared" si="25"/>
        <v>0.48024428491834459</v>
      </c>
      <c r="Y39" s="3" t="s">
        <v>270</v>
      </c>
      <c r="Z39" s="3" t="s">
        <v>15</v>
      </c>
    </row>
    <row r="40" spans="1:26" ht="34.15" customHeight="1" x14ac:dyDescent="0.25">
      <c r="A40" s="3">
        <v>6</v>
      </c>
      <c r="B40" s="3" t="s">
        <v>86</v>
      </c>
      <c r="C40" s="3"/>
      <c r="D40" s="3" t="s">
        <v>49</v>
      </c>
      <c r="E40" s="3" t="s">
        <v>50</v>
      </c>
      <c r="F40" s="3" t="s">
        <v>92</v>
      </c>
      <c r="G40" s="4">
        <v>3.8</v>
      </c>
      <c r="H40" s="3" t="s">
        <v>266</v>
      </c>
      <c r="I40" s="4">
        <v>0.01</v>
      </c>
      <c r="J40" s="5">
        <v>1</v>
      </c>
      <c r="K40" s="4">
        <f>1</f>
        <v>1</v>
      </c>
      <c r="L40" s="4">
        <f t="shared" si="13"/>
        <v>0.01</v>
      </c>
      <c r="M40" s="4">
        <f t="shared" si="14"/>
        <v>7.0000000000000007E-2</v>
      </c>
      <c r="N40" s="4">
        <f t="shared" si="15"/>
        <v>0.3</v>
      </c>
      <c r="O40" s="4">
        <f t="shared" si="16"/>
        <v>3.65</v>
      </c>
      <c r="P40" s="4">
        <f t="shared" si="17"/>
        <v>18.25</v>
      </c>
      <c r="Q40" s="4">
        <f t="shared" si="18"/>
        <v>36.5</v>
      </c>
      <c r="R40" s="5">
        <f t="shared" si="19"/>
        <v>1.0270405479052114E-2</v>
      </c>
      <c r="S40" s="5">
        <f t="shared" si="20"/>
        <v>1.021854527523125E-4</v>
      </c>
      <c r="T40" s="5">
        <f t="shared" si="21"/>
        <v>7.1551748581666352E-4</v>
      </c>
      <c r="U40" s="5">
        <f t="shared" si="22"/>
        <v>3.0701101296430888E-3</v>
      </c>
      <c r="V40" s="5">
        <f t="shared" si="23"/>
        <v>3.8000000000000034E-2</v>
      </c>
      <c r="W40" s="5">
        <f t="shared" si="24"/>
        <v>0.2049992249151682</v>
      </c>
      <c r="X40" s="5">
        <f t="shared" si="25"/>
        <v>0.45202313204615607</v>
      </c>
      <c r="Y40" s="3" t="s">
        <v>270</v>
      </c>
      <c r="Z40" s="3" t="s">
        <v>15</v>
      </c>
    </row>
    <row r="41" spans="1:26" ht="34.15" customHeight="1" x14ac:dyDescent="0.25">
      <c r="A41" s="3">
        <v>7</v>
      </c>
      <c r="B41" s="3" t="s">
        <v>86</v>
      </c>
      <c r="C41" s="3"/>
      <c r="D41" s="3" t="s">
        <v>49</v>
      </c>
      <c r="E41" s="3" t="s">
        <v>50</v>
      </c>
      <c r="F41" s="3" t="s">
        <v>93</v>
      </c>
      <c r="G41" s="4">
        <v>3.5</v>
      </c>
      <c r="H41" s="3" t="s">
        <v>266</v>
      </c>
      <c r="I41" s="4">
        <v>0.01</v>
      </c>
      <c r="J41" s="5">
        <v>1</v>
      </c>
      <c r="K41" s="4">
        <f>1</f>
        <v>1</v>
      </c>
      <c r="L41" s="4">
        <f t="shared" si="13"/>
        <v>0.01</v>
      </c>
      <c r="M41" s="4">
        <f t="shared" si="14"/>
        <v>7.0000000000000007E-2</v>
      </c>
      <c r="N41" s="4">
        <f t="shared" si="15"/>
        <v>0.3</v>
      </c>
      <c r="O41" s="4">
        <f t="shared" si="16"/>
        <v>3.65</v>
      </c>
      <c r="P41" s="4">
        <f t="shared" si="17"/>
        <v>18.25</v>
      </c>
      <c r="Q41" s="4">
        <f t="shared" si="18"/>
        <v>36.5</v>
      </c>
      <c r="R41" s="5">
        <f t="shared" si="19"/>
        <v>9.4696040541979443E-3</v>
      </c>
      <c r="S41" s="5">
        <f t="shared" si="20"/>
        <v>9.4254925873560325E-5</v>
      </c>
      <c r="T41" s="5">
        <f t="shared" si="21"/>
        <v>6.5997107423698687E-4</v>
      </c>
      <c r="U41" s="5">
        <f t="shared" si="22"/>
        <v>2.8315157141576286E-3</v>
      </c>
      <c r="V41" s="5">
        <f t="shared" si="23"/>
        <v>3.499999999999992E-2</v>
      </c>
      <c r="W41" s="5">
        <f t="shared" si="24"/>
        <v>0.1876863056468745</v>
      </c>
      <c r="X41" s="5">
        <f t="shared" si="25"/>
        <v>0.410598760621121</v>
      </c>
      <c r="Y41" s="3" t="s">
        <v>270</v>
      </c>
      <c r="Z41" s="3" t="s">
        <v>15</v>
      </c>
    </row>
    <row r="42" spans="1:26" ht="34.15" customHeight="1" x14ac:dyDescent="0.25">
      <c r="A42" s="3">
        <v>8</v>
      </c>
      <c r="B42" s="3" t="s">
        <v>86</v>
      </c>
      <c r="C42" s="3"/>
      <c r="D42" s="3" t="s">
        <v>49</v>
      </c>
      <c r="E42" s="3" t="s">
        <v>50</v>
      </c>
      <c r="F42" s="3" t="s">
        <v>94</v>
      </c>
      <c r="G42" s="4">
        <v>3.5</v>
      </c>
      <c r="H42" s="3" t="s">
        <v>266</v>
      </c>
      <c r="I42" s="4">
        <v>0.01</v>
      </c>
      <c r="J42" s="5">
        <v>1</v>
      </c>
      <c r="K42" s="4">
        <f>1</f>
        <v>1</v>
      </c>
      <c r="L42" s="4">
        <f t="shared" si="13"/>
        <v>0.01</v>
      </c>
      <c r="M42" s="4">
        <f t="shared" si="14"/>
        <v>7.0000000000000007E-2</v>
      </c>
      <c r="N42" s="4">
        <f t="shared" si="15"/>
        <v>0.3</v>
      </c>
      <c r="O42" s="4">
        <f t="shared" si="16"/>
        <v>3.65</v>
      </c>
      <c r="P42" s="4">
        <f t="shared" si="17"/>
        <v>18.25</v>
      </c>
      <c r="Q42" s="4">
        <f t="shared" si="18"/>
        <v>36.5</v>
      </c>
      <c r="R42" s="5">
        <f t="shared" si="19"/>
        <v>9.4696040541979443E-3</v>
      </c>
      <c r="S42" s="5">
        <f t="shared" si="20"/>
        <v>9.4254925873560325E-5</v>
      </c>
      <c r="T42" s="5">
        <f t="shared" si="21"/>
        <v>6.5997107423698687E-4</v>
      </c>
      <c r="U42" s="5">
        <f t="shared" si="22"/>
        <v>2.8315157141576286E-3</v>
      </c>
      <c r="V42" s="5">
        <f t="shared" si="23"/>
        <v>3.499999999999992E-2</v>
      </c>
      <c r="W42" s="5">
        <f t="shared" si="24"/>
        <v>0.1876863056468745</v>
      </c>
      <c r="X42" s="5">
        <f t="shared" si="25"/>
        <v>0.410598760621121</v>
      </c>
      <c r="Y42" s="3" t="s">
        <v>270</v>
      </c>
      <c r="Z42" s="3" t="s">
        <v>15</v>
      </c>
    </row>
    <row r="43" spans="1:26" ht="34.15" customHeight="1" x14ac:dyDescent="0.25">
      <c r="A43" s="3">
        <v>9</v>
      </c>
      <c r="B43" s="3" t="s">
        <v>86</v>
      </c>
      <c r="C43" s="3"/>
      <c r="D43" s="3" t="s">
        <v>49</v>
      </c>
      <c r="E43" s="3" t="s">
        <v>50</v>
      </c>
      <c r="F43" s="3" t="s">
        <v>95</v>
      </c>
      <c r="G43" s="4">
        <v>3</v>
      </c>
      <c r="H43" s="3" t="s">
        <v>266</v>
      </c>
      <c r="I43" s="4">
        <v>0.01</v>
      </c>
      <c r="J43" s="5">
        <v>1</v>
      </c>
      <c r="K43" s="4">
        <f>1</f>
        <v>1</v>
      </c>
      <c r="L43" s="4">
        <f t="shared" si="13"/>
        <v>0.01</v>
      </c>
      <c r="M43" s="4">
        <f t="shared" si="14"/>
        <v>7.0000000000000007E-2</v>
      </c>
      <c r="N43" s="4">
        <f t="shared" si="15"/>
        <v>0.3</v>
      </c>
      <c r="O43" s="4">
        <f t="shared" si="16"/>
        <v>3.65</v>
      </c>
      <c r="P43" s="4">
        <f t="shared" si="17"/>
        <v>18.25</v>
      </c>
      <c r="Q43" s="4">
        <f t="shared" si="18"/>
        <v>36.5</v>
      </c>
      <c r="R43" s="5">
        <f t="shared" si="19"/>
        <v>8.1311819288065745E-3</v>
      </c>
      <c r="S43" s="5">
        <f t="shared" si="20"/>
        <v>8.0986299053176225E-5</v>
      </c>
      <c r="T43" s="5">
        <f t="shared" si="21"/>
        <v>5.670418463576965E-4</v>
      </c>
      <c r="U43" s="5">
        <f t="shared" si="22"/>
        <v>2.4324441989045376E-3</v>
      </c>
      <c r="V43" s="5">
        <f t="shared" si="23"/>
        <v>3.0000000000000027E-2</v>
      </c>
      <c r="W43" s="5">
        <f t="shared" si="24"/>
        <v>0.15927407429999985</v>
      </c>
      <c r="X43" s="5">
        <f t="shared" si="25"/>
        <v>0.34391637934412178</v>
      </c>
      <c r="Y43" s="3" t="s">
        <v>270</v>
      </c>
      <c r="Z43" s="3" t="s">
        <v>15</v>
      </c>
    </row>
    <row r="44" spans="1:26" ht="34.15" customHeight="1" x14ac:dyDescent="0.25">
      <c r="A44" s="3">
        <v>10</v>
      </c>
      <c r="B44" s="3" t="s">
        <v>86</v>
      </c>
      <c r="C44" s="3"/>
      <c r="D44" s="3" t="s">
        <v>49</v>
      </c>
      <c r="E44" s="3" t="s">
        <v>50</v>
      </c>
      <c r="F44" s="3" t="s">
        <v>96</v>
      </c>
      <c r="G44" s="4">
        <v>2.5</v>
      </c>
      <c r="H44" s="3" t="s">
        <v>266</v>
      </c>
      <c r="I44" s="4">
        <v>0.01</v>
      </c>
      <c r="J44" s="5">
        <v>1</v>
      </c>
      <c r="K44" s="4">
        <f>1</f>
        <v>1</v>
      </c>
      <c r="L44" s="4">
        <f t="shared" si="13"/>
        <v>0.01</v>
      </c>
      <c r="M44" s="4">
        <f t="shared" si="14"/>
        <v>7.0000000000000007E-2</v>
      </c>
      <c r="N44" s="4">
        <f t="shared" si="15"/>
        <v>0.3</v>
      </c>
      <c r="O44" s="4">
        <f t="shared" si="16"/>
        <v>3.65</v>
      </c>
      <c r="P44" s="4">
        <f t="shared" si="17"/>
        <v>18.25</v>
      </c>
      <c r="Q44" s="4">
        <f t="shared" si="18"/>
        <v>36.5</v>
      </c>
      <c r="R44" s="5">
        <f t="shared" si="19"/>
        <v>6.788034314323399E-3</v>
      </c>
      <c r="S44" s="5">
        <f t="shared" si="20"/>
        <v>6.7653281778268237E-5</v>
      </c>
      <c r="T44" s="5">
        <f t="shared" si="21"/>
        <v>4.7366909958390657E-4</v>
      </c>
      <c r="U44" s="5">
        <f t="shared" si="22"/>
        <v>2.0315906915333581E-3</v>
      </c>
      <c r="V44" s="5">
        <f t="shared" si="23"/>
        <v>2.4999999999999911E-2</v>
      </c>
      <c r="W44" s="5">
        <f t="shared" si="24"/>
        <v>0.13140821289062465</v>
      </c>
      <c r="X44" s="5">
        <f t="shared" si="25"/>
        <v>0.28008454419635709</v>
      </c>
      <c r="Y44" s="3" t="s">
        <v>270</v>
      </c>
      <c r="Z44" s="3" t="s">
        <v>15</v>
      </c>
    </row>
    <row r="45" spans="1:26" ht="34.15" customHeight="1" x14ac:dyDescent="0.25">
      <c r="A45" s="3">
        <v>11</v>
      </c>
      <c r="B45" s="3" t="s">
        <v>86</v>
      </c>
      <c r="C45" s="3"/>
      <c r="D45" s="3" t="s">
        <v>49</v>
      </c>
      <c r="E45" s="3" t="s">
        <v>50</v>
      </c>
      <c r="F45" s="3" t="s">
        <v>97</v>
      </c>
      <c r="G45" s="4">
        <v>2.5</v>
      </c>
      <c r="H45" s="3" t="s">
        <v>266</v>
      </c>
      <c r="I45" s="4">
        <v>0.01</v>
      </c>
      <c r="J45" s="5">
        <v>1</v>
      </c>
      <c r="K45" s="4">
        <f>1</f>
        <v>1</v>
      </c>
      <c r="L45" s="4">
        <f t="shared" si="13"/>
        <v>0.01</v>
      </c>
      <c r="M45" s="4">
        <f t="shared" si="14"/>
        <v>7.0000000000000007E-2</v>
      </c>
      <c r="N45" s="4">
        <f t="shared" si="15"/>
        <v>0.3</v>
      </c>
      <c r="O45" s="4">
        <f t="shared" si="16"/>
        <v>3.65</v>
      </c>
      <c r="P45" s="4">
        <f t="shared" si="17"/>
        <v>18.25</v>
      </c>
      <c r="Q45" s="4">
        <f t="shared" si="18"/>
        <v>36.5</v>
      </c>
      <c r="R45" s="5">
        <f t="shared" si="19"/>
        <v>6.788034314323399E-3</v>
      </c>
      <c r="S45" s="5">
        <f t="shared" si="20"/>
        <v>6.7653281778268237E-5</v>
      </c>
      <c r="T45" s="5">
        <f t="shared" si="21"/>
        <v>4.7366909958390657E-4</v>
      </c>
      <c r="U45" s="5">
        <f t="shared" si="22"/>
        <v>2.0315906915333581E-3</v>
      </c>
      <c r="V45" s="5">
        <f t="shared" si="23"/>
        <v>2.4999999999999911E-2</v>
      </c>
      <c r="W45" s="5">
        <f t="shared" si="24"/>
        <v>0.13140821289062465</v>
      </c>
      <c r="X45" s="5">
        <f t="shared" si="25"/>
        <v>0.28008454419635709</v>
      </c>
      <c r="Y45" s="3" t="s">
        <v>270</v>
      </c>
      <c r="Z45" s="3" t="s">
        <v>15</v>
      </c>
    </row>
    <row r="46" spans="1:26" ht="34.15" customHeight="1" x14ac:dyDescent="0.25">
      <c r="A46" s="3">
        <v>12</v>
      </c>
      <c r="B46" s="3" t="s">
        <v>86</v>
      </c>
      <c r="C46" s="3"/>
      <c r="D46" s="3" t="s">
        <v>49</v>
      </c>
      <c r="E46" s="3" t="s">
        <v>50</v>
      </c>
      <c r="F46" s="3" t="s">
        <v>98</v>
      </c>
      <c r="G46" s="4">
        <v>1.5</v>
      </c>
      <c r="H46" s="3" t="s">
        <v>266</v>
      </c>
      <c r="I46" s="4">
        <v>0.01</v>
      </c>
      <c r="J46" s="5">
        <v>1</v>
      </c>
      <c r="K46" s="4">
        <f>1</f>
        <v>1</v>
      </c>
      <c r="L46" s="4">
        <f t="shared" si="13"/>
        <v>0.01</v>
      </c>
      <c r="M46" s="4">
        <f t="shared" si="14"/>
        <v>7.0000000000000007E-2</v>
      </c>
      <c r="N46" s="4">
        <f t="shared" si="15"/>
        <v>0.3</v>
      </c>
      <c r="O46" s="4">
        <f t="shared" si="16"/>
        <v>3.65</v>
      </c>
      <c r="P46" s="4">
        <f t="shared" si="17"/>
        <v>18.25</v>
      </c>
      <c r="Q46" s="4">
        <f t="shared" si="18"/>
        <v>36.5</v>
      </c>
      <c r="R46" s="5">
        <f t="shared" si="19"/>
        <v>4.0874026533184171E-3</v>
      </c>
      <c r="S46" s="5">
        <f t="shared" si="20"/>
        <v>4.0791551113583679E-5</v>
      </c>
      <c r="T46" s="5">
        <f t="shared" si="21"/>
        <v>2.8557580313481878E-4</v>
      </c>
      <c r="U46" s="5">
        <f t="shared" si="22"/>
        <v>1.2244706275879036E-3</v>
      </c>
      <c r="V46" s="5">
        <f t="shared" si="23"/>
        <v>1.4999999999999902E-2</v>
      </c>
      <c r="W46" s="5">
        <f t="shared" si="24"/>
        <v>7.7284003884374286E-2</v>
      </c>
      <c r="X46" s="5">
        <f t="shared" si="25"/>
        <v>0.16054082502514855</v>
      </c>
      <c r="Y46" s="3" t="s">
        <v>270</v>
      </c>
      <c r="Z46" s="3" t="s">
        <v>15</v>
      </c>
    </row>
    <row r="47" spans="1:26" ht="34.15" customHeight="1" x14ac:dyDescent="0.25">
      <c r="A47" s="3">
        <v>13</v>
      </c>
      <c r="B47" s="3" t="s">
        <v>86</v>
      </c>
      <c r="C47" s="3"/>
      <c r="D47" s="3" t="s">
        <v>49</v>
      </c>
      <c r="E47" s="3" t="s">
        <v>73</v>
      </c>
      <c r="F47" s="3" t="s">
        <v>99</v>
      </c>
      <c r="G47" s="4">
        <v>2.5</v>
      </c>
      <c r="H47" s="3" t="s">
        <v>266</v>
      </c>
      <c r="I47" s="4">
        <v>0.01</v>
      </c>
      <c r="J47" s="5">
        <v>1</v>
      </c>
      <c r="K47" s="4">
        <f>1</f>
        <v>1</v>
      </c>
      <c r="L47" s="4">
        <f t="shared" si="13"/>
        <v>0.01</v>
      </c>
      <c r="M47" s="4">
        <f t="shared" si="14"/>
        <v>7.0000000000000007E-2</v>
      </c>
      <c r="N47" s="4">
        <f t="shared" si="15"/>
        <v>0.3</v>
      </c>
      <c r="O47" s="4">
        <f t="shared" si="16"/>
        <v>3.65</v>
      </c>
      <c r="P47" s="4">
        <f t="shared" si="17"/>
        <v>18.25</v>
      </c>
      <c r="Q47" s="4">
        <f t="shared" si="18"/>
        <v>36.5</v>
      </c>
      <c r="R47" s="5">
        <f t="shared" si="19"/>
        <v>6.788034314323399E-3</v>
      </c>
      <c r="S47" s="5">
        <f t="shared" si="20"/>
        <v>6.7653281778268237E-5</v>
      </c>
      <c r="T47" s="5">
        <f t="shared" si="21"/>
        <v>4.7366909958390657E-4</v>
      </c>
      <c r="U47" s="5">
        <f t="shared" si="22"/>
        <v>2.0315906915333581E-3</v>
      </c>
      <c r="V47" s="5">
        <f t="shared" si="23"/>
        <v>2.4999999999999911E-2</v>
      </c>
      <c r="W47" s="5">
        <f t="shared" si="24"/>
        <v>0.13140821289062465</v>
      </c>
      <c r="X47" s="5">
        <f t="shared" si="25"/>
        <v>0.28008454419635709</v>
      </c>
      <c r="Y47" s="3" t="s">
        <v>270</v>
      </c>
      <c r="Z47" s="3" t="s">
        <v>15</v>
      </c>
    </row>
    <row r="48" spans="1:26" ht="34.15" customHeight="1" x14ac:dyDescent="0.25">
      <c r="A48" s="3">
        <v>14</v>
      </c>
      <c r="B48" s="3" t="s">
        <v>86</v>
      </c>
      <c r="C48" s="3"/>
      <c r="D48" s="3" t="s">
        <v>49</v>
      </c>
      <c r="E48" s="3" t="s">
        <v>81</v>
      </c>
      <c r="F48" s="3" t="s">
        <v>100</v>
      </c>
      <c r="G48" s="4">
        <v>2.21</v>
      </c>
      <c r="H48" s="3" t="s">
        <v>266</v>
      </c>
      <c r="I48" s="4">
        <v>0.01</v>
      </c>
      <c r="J48" s="5">
        <v>1</v>
      </c>
      <c r="K48" s="4">
        <f>1</f>
        <v>1</v>
      </c>
      <c r="L48" s="4">
        <f t="shared" si="13"/>
        <v>0.01</v>
      </c>
      <c r="M48" s="4">
        <f t="shared" si="14"/>
        <v>7.0000000000000007E-2</v>
      </c>
      <c r="N48" s="4">
        <f t="shared" si="15"/>
        <v>0.3</v>
      </c>
      <c r="O48" s="4">
        <f t="shared" si="16"/>
        <v>3.65</v>
      </c>
      <c r="P48" s="4">
        <f t="shared" si="17"/>
        <v>18.25</v>
      </c>
      <c r="Q48" s="4">
        <f t="shared" si="18"/>
        <v>36.5</v>
      </c>
      <c r="R48" s="5">
        <f t="shared" si="19"/>
        <v>6.0068277947384896E-3</v>
      </c>
      <c r="S48" s="5">
        <f t="shared" si="20"/>
        <v>5.9890380625482464E-5</v>
      </c>
      <c r="T48" s="5">
        <f t="shared" si="21"/>
        <v>4.1930799590872425E-4</v>
      </c>
      <c r="U48" s="5">
        <f t="shared" si="22"/>
        <v>1.798272574373927E-3</v>
      </c>
      <c r="V48" s="5">
        <f t="shared" si="23"/>
        <v>2.2100000000000009E-2</v>
      </c>
      <c r="W48" s="5">
        <f t="shared" si="24"/>
        <v>0.11549323660347022</v>
      </c>
      <c r="X48" s="5">
        <f t="shared" si="25"/>
        <v>0.24432516090808543</v>
      </c>
      <c r="Y48" s="3" t="s">
        <v>270</v>
      </c>
      <c r="Z48" s="3" t="s">
        <v>15</v>
      </c>
    </row>
    <row r="49" spans="1:26" ht="34.15" customHeight="1" x14ac:dyDescent="0.25">
      <c r="A49" s="3">
        <v>15</v>
      </c>
      <c r="B49" s="3" t="s">
        <v>86</v>
      </c>
      <c r="C49" s="3"/>
      <c r="D49" s="3" t="s">
        <v>49</v>
      </c>
      <c r="E49" s="3" t="s">
        <v>81</v>
      </c>
      <c r="F49" s="3" t="s">
        <v>101</v>
      </c>
      <c r="G49" s="4">
        <v>3.5</v>
      </c>
      <c r="H49" s="3" t="s">
        <v>266</v>
      </c>
      <c r="I49" s="4">
        <v>0.01</v>
      </c>
      <c r="J49" s="5">
        <v>1</v>
      </c>
      <c r="K49" s="4">
        <f>1</f>
        <v>1</v>
      </c>
      <c r="L49" s="4">
        <f t="shared" si="13"/>
        <v>0.01</v>
      </c>
      <c r="M49" s="4">
        <f t="shared" si="14"/>
        <v>7.0000000000000007E-2</v>
      </c>
      <c r="N49" s="4">
        <f t="shared" si="15"/>
        <v>0.3</v>
      </c>
      <c r="O49" s="4">
        <f t="shared" si="16"/>
        <v>3.65</v>
      </c>
      <c r="P49" s="4">
        <f t="shared" si="17"/>
        <v>18.25</v>
      </c>
      <c r="Q49" s="4">
        <f t="shared" si="18"/>
        <v>36.5</v>
      </c>
      <c r="R49" s="5">
        <f t="shared" si="19"/>
        <v>9.4696040541979443E-3</v>
      </c>
      <c r="S49" s="5">
        <f t="shared" si="20"/>
        <v>9.4254925873560325E-5</v>
      </c>
      <c r="T49" s="5">
        <f t="shared" si="21"/>
        <v>6.5997107423698687E-4</v>
      </c>
      <c r="U49" s="5">
        <f t="shared" si="22"/>
        <v>2.8315157141576286E-3</v>
      </c>
      <c r="V49" s="5">
        <f t="shared" si="23"/>
        <v>3.499999999999992E-2</v>
      </c>
      <c r="W49" s="5">
        <f t="shared" si="24"/>
        <v>0.1876863056468745</v>
      </c>
      <c r="X49" s="5">
        <f t="shared" si="25"/>
        <v>0.410598760621121</v>
      </c>
      <c r="Y49" s="3" t="s">
        <v>270</v>
      </c>
      <c r="Z49" s="3" t="s">
        <v>15</v>
      </c>
    </row>
    <row r="50" spans="1:26" ht="34.15" customHeight="1" x14ac:dyDescent="0.25">
      <c r="A50" s="3">
        <v>16</v>
      </c>
      <c r="B50" s="3" t="s">
        <v>86</v>
      </c>
      <c r="C50" s="3"/>
      <c r="D50" s="3" t="s">
        <v>49</v>
      </c>
      <c r="E50" s="3" t="s">
        <v>81</v>
      </c>
      <c r="F50" s="3" t="s">
        <v>102</v>
      </c>
      <c r="G50" s="4">
        <v>2.89</v>
      </c>
      <c r="H50" s="3" t="s">
        <v>266</v>
      </c>
      <c r="I50" s="4">
        <v>0.01</v>
      </c>
      <c r="J50" s="5">
        <v>1</v>
      </c>
      <c r="K50" s="4">
        <f>1</f>
        <v>1</v>
      </c>
      <c r="L50" s="4">
        <f t="shared" si="13"/>
        <v>0.01</v>
      </c>
      <c r="M50" s="4">
        <f t="shared" si="14"/>
        <v>7.0000000000000007E-2</v>
      </c>
      <c r="N50" s="4">
        <f t="shared" si="15"/>
        <v>0.3</v>
      </c>
      <c r="O50" s="4">
        <f t="shared" si="16"/>
        <v>3.65</v>
      </c>
      <c r="P50" s="4">
        <f t="shared" si="17"/>
        <v>18.25</v>
      </c>
      <c r="Q50" s="4">
        <f t="shared" si="18"/>
        <v>36.5</v>
      </c>
      <c r="R50" s="5">
        <f t="shared" si="19"/>
        <v>7.8360962831014458E-3</v>
      </c>
      <c r="S50" s="5">
        <f t="shared" si="20"/>
        <v>7.805858175391478E-5</v>
      </c>
      <c r="T50" s="5">
        <f t="shared" si="21"/>
        <v>5.4653804491211488E-4</v>
      </c>
      <c r="U50" s="5">
        <f t="shared" si="22"/>
        <v>2.3444099015141884E-3</v>
      </c>
      <c r="V50" s="5">
        <f t="shared" si="23"/>
        <v>2.8899999999999926E-2</v>
      </c>
      <c r="W50" s="5">
        <f t="shared" si="24"/>
        <v>0.1530969837286591</v>
      </c>
      <c r="X50" s="5">
        <f t="shared" si="25"/>
        <v>0.32963265388413165</v>
      </c>
      <c r="Y50" s="3" t="s">
        <v>270</v>
      </c>
      <c r="Z50" s="3" t="s">
        <v>15</v>
      </c>
    </row>
    <row r="51" spans="1:26" ht="34.15" customHeight="1" x14ac:dyDescent="0.25">
      <c r="A51" s="3">
        <v>1</v>
      </c>
      <c r="B51" s="3" t="s">
        <v>103</v>
      </c>
      <c r="C51" s="3"/>
      <c r="D51" s="3" t="s">
        <v>49</v>
      </c>
      <c r="E51" s="3" t="s">
        <v>50</v>
      </c>
      <c r="F51" s="3" t="s">
        <v>104</v>
      </c>
      <c r="G51" s="4">
        <v>10</v>
      </c>
      <c r="H51" s="3" t="s">
        <v>266</v>
      </c>
      <c r="I51" s="4">
        <v>4.0000000000000001E-3</v>
      </c>
      <c r="J51" s="5">
        <v>1</v>
      </c>
      <c r="K51" s="4">
        <f>1</f>
        <v>1</v>
      </c>
      <c r="L51" s="4">
        <f t="shared" si="13"/>
        <v>4.0000000000000001E-3</v>
      </c>
      <c r="M51" s="4">
        <f t="shared" si="14"/>
        <v>2.8000000000000001E-2</v>
      </c>
      <c r="N51" s="4">
        <f t="shared" si="15"/>
        <v>0.12</v>
      </c>
      <c r="O51" s="4">
        <f t="shared" si="16"/>
        <v>1.46</v>
      </c>
      <c r="P51" s="4">
        <f t="shared" si="17"/>
        <v>7.3</v>
      </c>
      <c r="Q51" s="4">
        <f t="shared" si="18"/>
        <v>14.6</v>
      </c>
      <c r="R51" s="5">
        <f t="shared" si="19"/>
        <v>6.7458879571998809E-2</v>
      </c>
      <c r="S51" s="5">
        <f t="shared" si="20"/>
        <v>2.6115787606784124E-4</v>
      </c>
      <c r="T51" s="5">
        <f t="shared" si="21"/>
        <v>1.8295380282136176E-3</v>
      </c>
      <c r="U51" s="5">
        <f t="shared" si="22"/>
        <v>7.8644772206188929E-3</v>
      </c>
      <c r="V51" s="5">
        <f t="shared" si="23"/>
        <v>0.10000000000000009</v>
      </c>
      <c r="W51" s="5">
        <f t="shared" si="24"/>
        <v>0.61051000000000055</v>
      </c>
      <c r="X51" s="5">
        <f t="shared" si="25"/>
        <v>1.5937424601000019</v>
      </c>
      <c r="Y51" s="3" t="s">
        <v>271</v>
      </c>
      <c r="Z51" s="3" t="s">
        <v>15</v>
      </c>
    </row>
    <row r="52" spans="1:26" ht="34.15" customHeight="1" x14ac:dyDescent="0.25">
      <c r="A52" s="3">
        <v>2</v>
      </c>
      <c r="B52" s="3" t="s">
        <v>103</v>
      </c>
      <c r="C52" s="3"/>
      <c r="D52" s="3" t="s">
        <v>49</v>
      </c>
      <c r="E52" s="3" t="s">
        <v>50</v>
      </c>
      <c r="F52" s="3" t="s">
        <v>105</v>
      </c>
      <c r="G52" s="4">
        <v>9</v>
      </c>
      <c r="H52" s="3" t="s">
        <v>266</v>
      </c>
      <c r="I52" s="4">
        <v>4.0000000000000001E-3</v>
      </c>
      <c r="J52" s="5">
        <v>1</v>
      </c>
      <c r="K52" s="4">
        <f>1</f>
        <v>1</v>
      </c>
      <c r="L52" s="4">
        <f t="shared" si="13"/>
        <v>4.0000000000000001E-3</v>
      </c>
      <c r="M52" s="4">
        <f t="shared" si="14"/>
        <v>2.8000000000000001E-2</v>
      </c>
      <c r="N52" s="4">
        <f t="shared" si="15"/>
        <v>0.12</v>
      </c>
      <c r="O52" s="4">
        <f t="shared" si="16"/>
        <v>1.46</v>
      </c>
      <c r="P52" s="4">
        <f t="shared" si="17"/>
        <v>7.3</v>
      </c>
      <c r="Q52" s="4">
        <f t="shared" si="18"/>
        <v>14.6</v>
      </c>
      <c r="R52" s="5">
        <f t="shared" si="19"/>
        <v>6.0802629613723402E-2</v>
      </c>
      <c r="S52" s="5">
        <f t="shared" si="20"/>
        <v>2.3613115194520695E-4</v>
      </c>
      <c r="T52" s="5">
        <f t="shared" si="21"/>
        <v>1.6540894408811901E-3</v>
      </c>
      <c r="U52" s="5">
        <f t="shared" si="22"/>
        <v>7.1082427939621606E-3</v>
      </c>
      <c r="V52" s="5">
        <f t="shared" si="23"/>
        <v>9.000000000000008E-2</v>
      </c>
      <c r="W52" s="5">
        <f t="shared" si="24"/>
        <v>0.53862395490000048</v>
      </c>
      <c r="X52" s="5">
        <f t="shared" si="25"/>
        <v>1.3673636745921187</v>
      </c>
      <c r="Y52" s="3" t="s">
        <v>271</v>
      </c>
      <c r="Z52" s="3" t="s">
        <v>15</v>
      </c>
    </row>
    <row r="53" spans="1:26" ht="34.15" customHeight="1" x14ac:dyDescent="0.25">
      <c r="A53" s="3">
        <v>3</v>
      </c>
      <c r="B53" s="3" t="s">
        <v>103</v>
      </c>
      <c r="C53" s="3"/>
      <c r="D53" s="3" t="s">
        <v>49</v>
      </c>
      <c r="E53" s="3" t="s">
        <v>50</v>
      </c>
      <c r="F53" s="3" t="s">
        <v>106</v>
      </c>
      <c r="G53" s="4">
        <v>8.5</v>
      </c>
      <c r="H53" s="3" t="s">
        <v>266</v>
      </c>
      <c r="I53" s="4">
        <v>4.0000000000000001E-3</v>
      </c>
      <c r="J53" s="5">
        <v>1</v>
      </c>
      <c r="K53" s="4">
        <f>1</f>
        <v>1</v>
      </c>
      <c r="L53" s="4">
        <f t="shared" si="13"/>
        <v>4.0000000000000001E-3</v>
      </c>
      <c r="M53" s="4">
        <f t="shared" si="14"/>
        <v>2.8000000000000001E-2</v>
      </c>
      <c r="N53" s="4">
        <f t="shared" si="15"/>
        <v>0.12</v>
      </c>
      <c r="O53" s="4">
        <f t="shared" si="16"/>
        <v>1.46</v>
      </c>
      <c r="P53" s="4">
        <f t="shared" si="17"/>
        <v>7.3</v>
      </c>
      <c r="Q53" s="4">
        <f t="shared" si="18"/>
        <v>14.6</v>
      </c>
      <c r="R53" s="5">
        <f t="shared" si="19"/>
        <v>5.7467293597121882E-2</v>
      </c>
      <c r="S53" s="5">
        <f t="shared" si="20"/>
        <v>2.2353179318668204E-4</v>
      </c>
      <c r="T53" s="5">
        <f t="shared" si="21"/>
        <v>1.5657722390267637E-3</v>
      </c>
      <c r="U53" s="5">
        <f t="shared" si="22"/>
        <v>6.7277346218359568E-3</v>
      </c>
      <c r="V53" s="5">
        <f t="shared" si="23"/>
        <v>8.4999999999999964E-2</v>
      </c>
      <c r="W53" s="5">
        <f t="shared" si="24"/>
        <v>0.50365669017812476</v>
      </c>
      <c r="X53" s="5">
        <f t="shared" si="25"/>
        <v>1.2609834419174333</v>
      </c>
      <c r="Y53" s="3" t="s">
        <v>271</v>
      </c>
      <c r="Z53" s="3" t="s">
        <v>15</v>
      </c>
    </row>
    <row r="54" spans="1:26" ht="34.15" customHeight="1" x14ac:dyDescent="0.25">
      <c r="A54" s="3">
        <v>4</v>
      </c>
      <c r="B54" s="3" t="s">
        <v>103</v>
      </c>
      <c r="C54" s="3"/>
      <c r="D54" s="3" t="s">
        <v>49</v>
      </c>
      <c r="E54" s="3" t="s">
        <v>50</v>
      </c>
      <c r="F54" s="3" t="s">
        <v>107</v>
      </c>
      <c r="G54" s="4">
        <v>7.5</v>
      </c>
      <c r="H54" s="3" t="s">
        <v>266</v>
      </c>
      <c r="I54" s="4">
        <v>4.0000000000000001E-3</v>
      </c>
      <c r="J54" s="5">
        <v>1</v>
      </c>
      <c r="K54" s="4">
        <f>1</f>
        <v>1</v>
      </c>
      <c r="L54" s="4">
        <f t="shared" si="13"/>
        <v>4.0000000000000001E-3</v>
      </c>
      <c r="M54" s="4">
        <f t="shared" si="14"/>
        <v>2.8000000000000001E-2</v>
      </c>
      <c r="N54" s="4">
        <f t="shared" si="15"/>
        <v>0.12</v>
      </c>
      <c r="O54" s="4">
        <f t="shared" si="16"/>
        <v>1.46</v>
      </c>
      <c r="P54" s="4">
        <f t="shared" si="17"/>
        <v>7.3</v>
      </c>
      <c r="Q54" s="4">
        <f t="shared" si="18"/>
        <v>14.6</v>
      </c>
      <c r="R54" s="5">
        <f t="shared" si="19"/>
        <v>5.0782053416928763E-2</v>
      </c>
      <c r="S54" s="5">
        <f t="shared" si="20"/>
        <v>1.9815842963666341E-4</v>
      </c>
      <c r="T54" s="5">
        <f t="shared" si="21"/>
        <v>1.3879338818745257E-3</v>
      </c>
      <c r="U54" s="5">
        <f t="shared" si="22"/>
        <v>5.9618655644277929E-3</v>
      </c>
      <c r="V54" s="5">
        <f t="shared" si="23"/>
        <v>7.4999999999999956E-2</v>
      </c>
      <c r="W54" s="5">
        <f t="shared" si="24"/>
        <v>0.43562932617187489</v>
      </c>
      <c r="X54" s="5">
        <f t="shared" si="25"/>
        <v>1.0610315621647111</v>
      </c>
      <c r="Y54" s="3" t="s">
        <v>271</v>
      </c>
      <c r="Z54" s="3" t="s">
        <v>15</v>
      </c>
    </row>
    <row r="55" spans="1:26" ht="34.15" customHeight="1" x14ac:dyDescent="0.25">
      <c r="A55" s="3">
        <v>5</v>
      </c>
      <c r="B55" s="3" t="s">
        <v>103</v>
      </c>
      <c r="C55" s="3"/>
      <c r="D55" s="3" t="s">
        <v>49</v>
      </c>
      <c r="E55" s="3" t="s">
        <v>50</v>
      </c>
      <c r="F55" s="3" t="s">
        <v>108</v>
      </c>
      <c r="G55" s="4">
        <v>6.5</v>
      </c>
      <c r="H55" s="3" t="s">
        <v>266</v>
      </c>
      <c r="I55" s="4">
        <v>4.0000000000000001E-3</v>
      </c>
      <c r="J55" s="5">
        <v>1</v>
      </c>
      <c r="K55" s="4">
        <f>1</f>
        <v>1</v>
      </c>
      <c r="L55" s="4">
        <f t="shared" si="13"/>
        <v>4.0000000000000001E-3</v>
      </c>
      <c r="M55" s="4">
        <f t="shared" si="14"/>
        <v>2.8000000000000001E-2</v>
      </c>
      <c r="N55" s="4">
        <f t="shared" si="15"/>
        <v>0.12</v>
      </c>
      <c r="O55" s="4">
        <f t="shared" si="16"/>
        <v>1.46</v>
      </c>
      <c r="P55" s="4">
        <f t="shared" si="17"/>
        <v>7.3</v>
      </c>
      <c r="Q55" s="4">
        <f t="shared" si="18"/>
        <v>14.6</v>
      </c>
      <c r="R55" s="5">
        <f t="shared" si="19"/>
        <v>4.4077190599588034E-2</v>
      </c>
      <c r="S55" s="5">
        <f t="shared" si="20"/>
        <v>1.7254858112680793E-4</v>
      </c>
      <c r="T55" s="5">
        <f t="shared" si="21"/>
        <v>1.2084654809936257E-3</v>
      </c>
      <c r="U55" s="5">
        <f t="shared" si="22"/>
        <v>5.1894295761092391E-3</v>
      </c>
      <c r="V55" s="5">
        <f t="shared" si="23"/>
        <v>6.4999999999999947E-2</v>
      </c>
      <c r="W55" s="5">
        <f t="shared" si="24"/>
        <v>0.37008666341562457</v>
      </c>
      <c r="X55" s="5">
        <f t="shared" si="25"/>
        <v>0.87713746526935865</v>
      </c>
      <c r="Y55" s="3" t="s">
        <v>271</v>
      </c>
      <c r="Z55" s="3" t="s">
        <v>15</v>
      </c>
    </row>
    <row r="56" spans="1:26" ht="34.15" customHeight="1" x14ac:dyDescent="0.25">
      <c r="A56" s="3">
        <v>6</v>
      </c>
      <c r="B56" s="3" t="s">
        <v>103</v>
      </c>
      <c r="C56" s="3"/>
      <c r="D56" s="3" t="s">
        <v>49</v>
      </c>
      <c r="E56" s="3" t="s">
        <v>50</v>
      </c>
      <c r="F56" s="3" t="s">
        <v>109</v>
      </c>
      <c r="G56" s="4">
        <v>5.5</v>
      </c>
      <c r="H56" s="3" t="s">
        <v>266</v>
      </c>
      <c r="I56" s="4">
        <v>4.0000000000000001E-3</v>
      </c>
      <c r="J56" s="5">
        <v>1</v>
      </c>
      <c r="K56" s="4">
        <f>1</f>
        <v>1</v>
      </c>
      <c r="L56" s="4">
        <f t="shared" si="13"/>
        <v>4.0000000000000001E-3</v>
      </c>
      <c r="M56" s="4">
        <f t="shared" si="14"/>
        <v>2.8000000000000001E-2</v>
      </c>
      <c r="N56" s="4">
        <f t="shared" si="15"/>
        <v>0.12</v>
      </c>
      <c r="O56" s="4">
        <f t="shared" si="16"/>
        <v>1.46</v>
      </c>
      <c r="P56" s="4">
        <f t="shared" si="17"/>
        <v>7.3</v>
      </c>
      <c r="Q56" s="4">
        <f t="shared" si="18"/>
        <v>14.6</v>
      </c>
      <c r="R56" s="5">
        <f t="shared" si="19"/>
        <v>3.7352462477705295E-2</v>
      </c>
      <c r="S56" s="5">
        <f t="shared" si="20"/>
        <v>1.466977917483625E-4</v>
      </c>
      <c r="T56" s="5">
        <f t="shared" si="21"/>
        <v>1.027336577833049E-3</v>
      </c>
      <c r="U56" s="5">
        <f t="shared" si="22"/>
        <v>4.4103078877744117E-3</v>
      </c>
      <c r="V56" s="5">
        <f t="shared" si="23"/>
        <v>5.4999999999999938E-2</v>
      </c>
      <c r="W56" s="5">
        <f t="shared" si="24"/>
        <v>0.30696000640937471</v>
      </c>
      <c r="X56" s="5">
        <f t="shared" si="25"/>
        <v>0.70814445835359296</v>
      </c>
      <c r="Y56" s="3" t="s">
        <v>271</v>
      </c>
      <c r="Z56" s="3" t="s">
        <v>15</v>
      </c>
    </row>
    <row r="57" spans="1:26" ht="34.15" customHeight="1" x14ac:dyDescent="0.25">
      <c r="A57" s="3">
        <v>7</v>
      </c>
      <c r="B57" s="3" t="s">
        <v>103</v>
      </c>
      <c r="C57" s="3"/>
      <c r="D57" s="3" t="s">
        <v>49</v>
      </c>
      <c r="E57" s="3" t="s">
        <v>50</v>
      </c>
      <c r="F57" s="3" t="s">
        <v>110</v>
      </c>
      <c r="G57" s="4">
        <v>4</v>
      </c>
      <c r="H57" s="3" t="s">
        <v>266</v>
      </c>
      <c r="I57" s="4">
        <v>5.0000000000000001E-3</v>
      </c>
      <c r="J57" s="5">
        <v>0.9</v>
      </c>
      <c r="K57" s="4">
        <f>1</f>
        <v>1</v>
      </c>
      <c r="L57" s="4">
        <f t="shared" si="13"/>
        <v>5.0000000000000001E-3</v>
      </c>
      <c r="M57" s="4">
        <f t="shared" si="14"/>
        <v>3.5000000000000003E-2</v>
      </c>
      <c r="N57" s="4">
        <f t="shared" si="15"/>
        <v>0.15</v>
      </c>
      <c r="O57" s="4">
        <f t="shared" si="16"/>
        <v>1.825</v>
      </c>
      <c r="P57" s="4">
        <f t="shared" si="17"/>
        <v>9.125</v>
      </c>
      <c r="Q57" s="4">
        <f t="shared" si="18"/>
        <v>18.25</v>
      </c>
      <c r="R57" s="5">
        <f t="shared" si="19"/>
        <v>1.9568253593758689E-2</v>
      </c>
      <c r="S57" s="5">
        <f t="shared" si="20"/>
        <v>9.6900979082326089E-5</v>
      </c>
      <c r="T57" s="5">
        <f t="shared" si="21"/>
        <v>6.7850407121983203E-4</v>
      </c>
      <c r="U57" s="5">
        <f t="shared" si="22"/>
        <v>2.9111176318934451E-3</v>
      </c>
      <c r="V57" s="5">
        <f t="shared" si="23"/>
        <v>3.6000000000000032E-2</v>
      </c>
      <c r="W57" s="5">
        <f t="shared" si="24"/>
        <v>0.19343501854617617</v>
      </c>
      <c r="X57" s="5">
        <f t="shared" si="25"/>
        <v>0.42428714349231167</v>
      </c>
      <c r="Y57" s="3" t="s">
        <v>272</v>
      </c>
      <c r="Z57" s="3" t="s">
        <v>15</v>
      </c>
    </row>
    <row r="58" spans="1:26" ht="34.15" customHeight="1" x14ac:dyDescent="0.25">
      <c r="A58" s="3">
        <v>8</v>
      </c>
      <c r="B58" s="3" t="s">
        <v>103</v>
      </c>
      <c r="C58" s="3"/>
      <c r="D58" s="3" t="s">
        <v>49</v>
      </c>
      <c r="E58" s="3" t="s">
        <v>50</v>
      </c>
      <c r="F58" s="3" t="s">
        <v>111</v>
      </c>
      <c r="G58" s="4">
        <v>2</v>
      </c>
      <c r="H58" s="3" t="s">
        <v>266</v>
      </c>
      <c r="I58" s="4">
        <v>3.0000000000000001E-3</v>
      </c>
      <c r="J58" s="5">
        <v>0.9</v>
      </c>
      <c r="K58" s="4">
        <f>1</f>
        <v>1</v>
      </c>
      <c r="L58" s="4">
        <f t="shared" si="13"/>
        <v>3.0000000000000001E-3</v>
      </c>
      <c r="M58" s="4">
        <f t="shared" si="14"/>
        <v>2.1000000000000001E-2</v>
      </c>
      <c r="N58" s="4">
        <f t="shared" si="15"/>
        <v>0.09</v>
      </c>
      <c r="O58" s="4">
        <f t="shared" si="16"/>
        <v>1.095</v>
      </c>
      <c r="P58" s="4">
        <f t="shared" si="17"/>
        <v>5.4750000000000005</v>
      </c>
      <c r="Q58" s="4">
        <f t="shared" si="18"/>
        <v>10.950000000000001</v>
      </c>
      <c r="R58" s="5">
        <f t="shared" si="19"/>
        <v>1.6425603652332921E-2</v>
      </c>
      <c r="S58" s="5">
        <f t="shared" si="20"/>
        <v>4.8877682497838748E-5</v>
      </c>
      <c r="T58" s="5">
        <f t="shared" si="21"/>
        <v>3.4219395115675511E-4</v>
      </c>
      <c r="U58" s="5">
        <f t="shared" si="22"/>
        <v>1.4673701762912827E-3</v>
      </c>
      <c r="V58" s="5">
        <f t="shared" si="23"/>
        <v>1.8000000000000016E-2</v>
      </c>
      <c r="W58" s="5">
        <f t="shared" si="24"/>
        <v>9.3298846769568122E-2</v>
      </c>
      <c r="X58" s="5">
        <f t="shared" si="25"/>
        <v>0.19530236834766757</v>
      </c>
      <c r="Y58" s="3" t="s">
        <v>273</v>
      </c>
      <c r="Z58" s="3" t="s">
        <v>15</v>
      </c>
    </row>
    <row r="59" spans="1:26" ht="34.15" customHeight="1" x14ac:dyDescent="0.25">
      <c r="A59" s="3">
        <v>9</v>
      </c>
      <c r="B59" s="3" t="s">
        <v>103</v>
      </c>
      <c r="C59" s="3"/>
      <c r="D59" s="3" t="s">
        <v>49</v>
      </c>
      <c r="E59" s="3" t="s">
        <v>50</v>
      </c>
      <c r="F59" s="3" t="s">
        <v>112</v>
      </c>
      <c r="G59" s="4">
        <v>-5</v>
      </c>
      <c r="H59" s="3" t="s">
        <v>266</v>
      </c>
      <c r="I59" s="4">
        <v>0.01</v>
      </c>
      <c r="J59" s="5">
        <v>0.8</v>
      </c>
      <c r="K59" s="4">
        <f>1</f>
        <v>1</v>
      </c>
      <c r="L59" s="4">
        <f t="shared" si="13"/>
        <v>0.01</v>
      </c>
      <c r="M59" s="4">
        <f t="shared" si="14"/>
        <v>7.0000000000000007E-2</v>
      </c>
      <c r="N59" s="4">
        <f t="shared" si="15"/>
        <v>0.3</v>
      </c>
      <c r="O59" s="4">
        <f t="shared" si="16"/>
        <v>3.65</v>
      </c>
      <c r="P59" s="4">
        <f t="shared" si="17"/>
        <v>18.25</v>
      </c>
      <c r="Q59" s="4">
        <f t="shared" si="18"/>
        <v>36.5</v>
      </c>
      <c r="R59" s="5">
        <f t="shared" si="19"/>
        <v>-1.1121798459757248E-2</v>
      </c>
      <c r="S59" s="5">
        <f t="shared" si="20"/>
        <v>-1.1183482689691715E-4</v>
      </c>
      <c r="T59" s="5">
        <f t="shared" si="21"/>
        <v>-7.8258118962926115E-4</v>
      </c>
      <c r="U59" s="5">
        <f t="shared" si="22"/>
        <v>-3.3496099240302168E-3</v>
      </c>
      <c r="V59" s="5">
        <f t="shared" si="23"/>
        <v>-4.0000000000000036E-2</v>
      </c>
      <c r="W59" s="5">
        <f t="shared" si="24"/>
        <v>-0.18462730240000003</v>
      </c>
      <c r="X59" s="5">
        <f t="shared" si="25"/>
        <v>-0.335167364008499</v>
      </c>
      <c r="Y59" s="3" t="s">
        <v>274</v>
      </c>
      <c r="Z59" s="3" t="s">
        <v>15</v>
      </c>
    </row>
    <row r="60" spans="1:26" ht="34.15" customHeight="1" x14ac:dyDescent="0.25">
      <c r="A60" s="3">
        <v>10</v>
      </c>
      <c r="B60" s="3" t="s">
        <v>103</v>
      </c>
      <c r="C60" s="3"/>
      <c r="D60" s="3" t="s">
        <v>49</v>
      </c>
      <c r="E60" s="3" t="s">
        <v>50</v>
      </c>
      <c r="F60" s="3" t="s">
        <v>113</v>
      </c>
      <c r="G60" s="4">
        <v>-12</v>
      </c>
      <c r="H60" s="3" t="s">
        <v>266</v>
      </c>
      <c r="I60" s="4">
        <v>2E-3</v>
      </c>
      <c r="J60" s="5">
        <v>1</v>
      </c>
      <c r="K60" s="4">
        <f>1</f>
        <v>1</v>
      </c>
      <c r="L60" s="4">
        <f t="shared" si="13"/>
        <v>2E-3</v>
      </c>
      <c r="M60" s="4">
        <f t="shared" si="14"/>
        <v>1.4E-2</v>
      </c>
      <c r="N60" s="4">
        <f t="shared" si="15"/>
        <v>0.06</v>
      </c>
      <c r="O60" s="4">
        <f t="shared" si="16"/>
        <v>0.73</v>
      </c>
      <c r="P60" s="4">
        <f t="shared" si="17"/>
        <v>3.65</v>
      </c>
      <c r="Q60" s="4">
        <f t="shared" si="18"/>
        <v>7.3</v>
      </c>
      <c r="R60" s="5">
        <f t="shared" si="19"/>
        <v>-0.16063884608414436</v>
      </c>
      <c r="S60" s="5">
        <f t="shared" si="20"/>
        <v>-3.5016709228341547E-4</v>
      </c>
      <c r="T60" s="5">
        <f t="shared" si="21"/>
        <v>-2.4485961913901511E-3</v>
      </c>
      <c r="U60" s="5">
        <f t="shared" si="22"/>
        <v>-1.0451848287402976E-2</v>
      </c>
      <c r="V60" s="5">
        <f t="shared" si="23"/>
        <v>-0.12</v>
      </c>
      <c r="W60" s="5">
        <f t="shared" si="24"/>
        <v>-0.47226808320000002</v>
      </c>
      <c r="X60" s="5">
        <f t="shared" si="25"/>
        <v>-0.72149902399059784</v>
      </c>
      <c r="Y60" s="3" t="s">
        <v>275</v>
      </c>
      <c r="Z60" s="3" t="s">
        <v>15</v>
      </c>
    </row>
    <row r="61" spans="1:26" ht="34.15" customHeight="1" x14ac:dyDescent="0.25">
      <c r="A61" s="3">
        <v>11</v>
      </c>
      <c r="B61" s="3" t="s">
        <v>103</v>
      </c>
      <c r="C61" s="3"/>
      <c r="D61" s="3" t="s">
        <v>49</v>
      </c>
      <c r="E61" s="3" t="s">
        <v>81</v>
      </c>
      <c r="F61" s="3" t="s">
        <v>114</v>
      </c>
      <c r="G61" s="4">
        <v>4.7300000000000004</v>
      </c>
      <c r="H61" s="3" t="s">
        <v>266</v>
      </c>
      <c r="I61" s="4">
        <v>4.0000000000000001E-3</v>
      </c>
      <c r="J61" s="5">
        <v>1</v>
      </c>
      <c r="K61" s="4">
        <f>1</f>
        <v>1</v>
      </c>
      <c r="L61" s="4">
        <f t="shared" si="13"/>
        <v>4.0000000000000001E-3</v>
      </c>
      <c r="M61" s="4">
        <f t="shared" si="14"/>
        <v>2.8000000000000001E-2</v>
      </c>
      <c r="N61" s="4">
        <f t="shared" si="15"/>
        <v>0.12</v>
      </c>
      <c r="O61" s="4">
        <f t="shared" si="16"/>
        <v>1.46</v>
      </c>
      <c r="P61" s="4">
        <f t="shared" si="17"/>
        <v>7.3</v>
      </c>
      <c r="Q61" s="4">
        <f t="shared" si="18"/>
        <v>14.6</v>
      </c>
      <c r="R61" s="5">
        <f t="shared" si="19"/>
        <v>3.2160728766258195E-2</v>
      </c>
      <c r="S61" s="5">
        <f t="shared" si="20"/>
        <v>1.2662561579035447E-4</v>
      </c>
      <c r="T61" s="5">
        <f t="shared" si="21"/>
        <v>8.8671609658041994E-4</v>
      </c>
      <c r="U61" s="5">
        <f t="shared" si="22"/>
        <v>3.8057515341227699E-3</v>
      </c>
      <c r="V61" s="5">
        <f t="shared" si="23"/>
        <v>4.7299999999999898E-2</v>
      </c>
      <c r="W61" s="5">
        <f t="shared" si="24"/>
        <v>0.25995640226128747</v>
      </c>
      <c r="X61" s="5">
        <f t="shared" si="25"/>
        <v>0.58749013559920771</v>
      </c>
      <c r="Y61" s="3" t="s">
        <v>271</v>
      </c>
      <c r="Z61" s="3" t="s">
        <v>15</v>
      </c>
    </row>
    <row r="62" spans="1:26" ht="34.15" customHeight="1" x14ac:dyDescent="0.25">
      <c r="A62" s="3">
        <v>12</v>
      </c>
      <c r="B62" s="3" t="s">
        <v>103</v>
      </c>
      <c r="C62" s="3"/>
      <c r="D62" s="3" t="s">
        <v>49</v>
      </c>
      <c r="E62" s="3" t="s">
        <v>81</v>
      </c>
      <c r="F62" s="3" t="s">
        <v>115</v>
      </c>
      <c r="G62" s="4">
        <v>6.75</v>
      </c>
      <c r="H62" s="3" t="s">
        <v>266</v>
      </c>
      <c r="I62" s="4">
        <v>4.0000000000000001E-3</v>
      </c>
      <c r="J62" s="5">
        <v>1</v>
      </c>
      <c r="K62" s="4">
        <f>1</f>
        <v>1</v>
      </c>
      <c r="L62" s="4">
        <f t="shared" si="13"/>
        <v>4.0000000000000001E-3</v>
      </c>
      <c r="M62" s="4">
        <f t="shared" si="14"/>
        <v>2.8000000000000001E-2</v>
      </c>
      <c r="N62" s="4">
        <f t="shared" si="15"/>
        <v>0.12</v>
      </c>
      <c r="O62" s="4">
        <f t="shared" si="16"/>
        <v>1.46</v>
      </c>
      <c r="P62" s="4">
        <f t="shared" si="17"/>
        <v>7.3</v>
      </c>
      <c r="Q62" s="4">
        <f t="shared" si="18"/>
        <v>14.6</v>
      </c>
      <c r="R62" s="5">
        <f t="shared" si="19"/>
        <v>4.5755259107159496E-2</v>
      </c>
      <c r="S62" s="5">
        <f t="shared" si="20"/>
        <v>1.7897345526463049E-4</v>
      </c>
      <c r="T62" s="5">
        <f t="shared" si="21"/>
        <v>1.2534870489870897E-3</v>
      </c>
      <c r="U62" s="5">
        <f t="shared" si="22"/>
        <v>5.3831606626952855E-3</v>
      </c>
      <c r="V62" s="5">
        <f t="shared" si="23"/>
        <v>6.7499999999999893E-2</v>
      </c>
      <c r="W62" s="5">
        <f t="shared" si="24"/>
        <v>0.38624316708076112</v>
      </c>
      <c r="X62" s="5">
        <f t="shared" si="25"/>
        <v>0.92167011827809886</v>
      </c>
      <c r="Y62" s="3" t="s">
        <v>271</v>
      </c>
      <c r="Z62" s="3" t="s">
        <v>15</v>
      </c>
    </row>
    <row r="63" spans="1:26" ht="34.15" customHeight="1" x14ac:dyDescent="0.25">
      <c r="A63" s="3">
        <v>1</v>
      </c>
      <c r="B63" s="3" t="s">
        <v>116</v>
      </c>
      <c r="C63" s="3"/>
      <c r="D63" s="3" t="s">
        <v>49</v>
      </c>
      <c r="E63" s="3" t="s">
        <v>50</v>
      </c>
      <c r="F63" s="3" t="s">
        <v>117</v>
      </c>
      <c r="G63" s="4">
        <v>45</v>
      </c>
      <c r="H63" s="3" t="s">
        <v>266</v>
      </c>
      <c r="I63" s="4">
        <v>0.05</v>
      </c>
      <c r="J63" s="5">
        <v>0.7</v>
      </c>
      <c r="K63" s="4">
        <f>1</f>
        <v>1</v>
      </c>
      <c r="L63" s="4">
        <f t="shared" si="13"/>
        <v>0.05</v>
      </c>
      <c r="M63" s="4">
        <f t="shared" si="14"/>
        <v>0.35000000000000003</v>
      </c>
      <c r="N63" s="4">
        <f t="shared" si="15"/>
        <v>1.5</v>
      </c>
      <c r="O63" s="4">
        <f t="shared" si="16"/>
        <v>18.25</v>
      </c>
      <c r="P63" s="4">
        <f t="shared" si="17"/>
        <v>91.25</v>
      </c>
      <c r="Q63" s="4">
        <f t="shared" si="18"/>
        <v>182.5</v>
      </c>
      <c r="R63" s="5">
        <f t="shared" si="19"/>
        <v>1.5117885197739822E-2</v>
      </c>
      <c r="S63" s="5">
        <f t="shared" si="20"/>
        <v>7.5051893858213425E-4</v>
      </c>
      <c r="T63" s="5">
        <f t="shared" si="21"/>
        <v>5.2654762297019708E-3</v>
      </c>
      <c r="U63" s="5">
        <f t="shared" si="22"/>
        <v>2.2762319481551607E-2</v>
      </c>
      <c r="V63" s="5">
        <f t="shared" si="23"/>
        <v>0.31499999999999995</v>
      </c>
      <c r="W63" s="5">
        <f t="shared" si="24"/>
        <v>2.9321381173218737</v>
      </c>
      <c r="X63" s="5">
        <f t="shared" si="25"/>
        <v>14.461710173695611</v>
      </c>
      <c r="Y63" s="3" t="s">
        <v>276</v>
      </c>
      <c r="Z63" s="3" t="s">
        <v>15</v>
      </c>
    </row>
    <row r="64" spans="1:26" ht="34.15" customHeight="1" x14ac:dyDescent="0.25">
      <c r="A64" s="3">
        <v>2</v>
      </c>
      <c r="B64" s="3" t="s">
        <v>116</v>
      </c>
      <c r="C64" s="3"/>
      <c r="D64" s="3" t="s">
        <v>49</v>
      </c>
      <c r="E64" s="3" t="s">
        <v>50</v>
      </c>
      <c r="F64" s="3" t="s">
        <v>118</v>
      </c>
      <c r="G64" s="4">
        <v>10</v>
      </c>
      <c r="H64" s="3" t="s">
        <v>266</v>
      </c>
      <c r="I64" s="4">
        <v>0.05</v>
      </c>
      <c r="J64" s="5">
        <v>0.7</v>
      </c>
      <c r="K64" s="4">
        <f>1</f>
        <v>1</v>
      </c>
      <c r="L64" s="4">
        <f t="shared" si="13"/>
        <v>0.05</v>
      </c>
      <c r="M64" s="4">
        <f t="shared" si="14"/>
        <v>0.35000000000000003</v>
      </c>
      <c r="N64" s="4">
        <f t="shared" si="15"/>
        <v>1.5</v>
      </c>
      <c r="O64" s="4">
        <f t="shared" si="16"/>
        <v>18.25</v>
      </c>
      <c r="P64" s="4">
        <f t="shared" si="17"/>
        <v>91.25</v>
      </c>
      <c r="Q64" s="4">
        <f t="shared" si="18"/>
        <v>182.5</v>
      </c>
      <c r="R64" s="5">
        <f t="shared" si="19"/>
        <v>3.7142038269843969E-3</v>
      </c>
      <c r="S64" s="5">
        <f t="shared" si="20"/>
        <v>1.8538334157058856E-4</v>
      </c>
      <c r="T64" s="5">
        <f t="shared" si="21"/>
        <v>1.298405320672158E-3</v>
      </c>
      <c r="U64" s="5">
        <f t="shared" si="22"/>
        <v>5.5764757837923895E-3</v>
      </c>
      <c r="V64" s="5">
        <f t="shared" si="23"/>
        <v>7.0000000000000062E-2</v>
      </c>
      <c r="W64" s="5">
        <f t="shared" si="24"/>
        <v>0.40255173070000017</v>
      </c>
      <c r="X64" s="5">
        <f t="shared" si="25"/>
        <v>0.96715135728956558</v>
      </c>
      <c r="Y64" s="3" t="s">
        <v>276</v>
      </c>
      <c r="Z64" s="3" t="s">
        <v>15</v>
      </c>
    </row>
    <row r="65" spans="1:26" ht="34.15" customHeight="1" x14ac:dyDescent="0.25">
      <c r="A65" s="3">
        <v>3</v>
      </c>
      <c r="B65" s="3" t="s">
        <v>116</v>
      </c>
      <c r="C65" s="3"/>
      <c r="D65" s="3" t="s">
        <v>49</v>
      </c>
      <c r="E65" s="3" t="s">
        <v>50</v>
      </c>
      <c r="F65" s="3" t="s">
        <v>119</v>
      </c>
      <c r="G65" s="4">
        <v>5</v>
      </c>
      <c r="H65" s="3" t="s">
        <v>266</v>
      </c>
      <c r="I65" s="4">
        <v>0.01</v>
      </c>
      <c r="J65" s="5">
        <v>0.6</v>
      </c>
      <c r="K65" s="4">
        <f>1</f>
        <v>1</v>
      </c>
      <c r="L65" s="4">
        <f t="shared" si="13"/>
        <v>0.01</v>
      </c>
      <c r="M65" s="4">
        <f t="shared" si="14"/>
        <v>7.0000000000000007E-2</v>
      </c>
      <c r="N65" s="4">
        <f t="shared" si="15"/>
        <v>0.3</v>
      </c>
      <c r="O65" s="4">
        <f t="shared" si="16"/>
        <v>3.65</v>
      </c>
      <c r="P65" s="4">
        <f t="shared" si="17"/>
        <v>18.25</v>
      </c>
      <c r="Q65" s="4">
        <f t="shared" si="18"/>
        <v>36.5</v>
      </c>
      <c r="R65" s="5">
        <f t="shared" si="19"/>
        <v>8.1311819288065745E-3</v>
      </c>
      <c r="S65" s="5">
        <f t="shared" si="20"/>
        <v>8.0986299053176225E-5</v>
      </c>
      <c r="T65" s="5">
        <f t="shared" si="21"/>
        <v>5.670418463576965E-4</v>
      </c>
      <c r="U65" s="5">
        <f t="shared" si="22"/>
        <v>2.4324441989045376E-3</v>
      </c>
      <c r="V65" s="5">
        <f t="shared" si="23"/>
        <v>3.0000000000000027E-2</v>
      </c>
      <c r="W65" s="5">
        <f t="shared" si="24"/>
        <v>0.15927407429999985</v>
      </c>
      <c r="X65" s="5">
        <f t="shared" si="25"/>
        <v>0.34391637934412178</v>
      </c>
      <c r="Y65" s="3" t="s">
        <v>277</v>
      </c>
      <c r="Z65" s="3" t="s">
        <v>15</v>
      </c>
    </row>
    <row r="66" spans="1:26" ht="34.15" customHeight="1" x14ac:dyDescent="0.25">
      <c r="A66" s="3">
        <v>4</v>
      </c>
      <c r="B66" s="3" t="s">
        <v>116</v>
      </c>
      <c r="C66" s="3"/>
      <c r="D66" s="3" t="s">
        <v>49</v>
      </c>
      <c r="E66" s="3" t="s">
        <v>50</v>
      </c>
      <c r="F66" s="3" t="s">
        <v>120</v>
      </c>
      <c r="G66" s="4">
        <v>2</v>
      </c>
      <c r="H66" s="3" t="s">
        <v>266</v>
      </c>
      <c r="I66" s="4">
        <v>0.05</v>
      </c>
      <c r="J66" s="5">
        <v>0.7</v>
      </c>
      <c r="K66" s="4">
        <f>1</f>
        <v>1</v>
      </c>
      <c r="L66" s="4">
        <f t="shared" ref="L66:L97" si="26">I66</f>
        <v>0.05</v>
      </c>
      <c r="M66" s="4">
        <f t="shared" ref="M66:M97" si="27">I66*7</f>
        <v>0.35000000000000003</v>
      </c>
      <c r="N66" s="4">
        <f t="shared" ref="N66:N97" si="28">I66*30</f>
        <v>1.5</v>
      </c>
      <c r="O66" s="4">
        <f t="shared" ref="O66:O97" si="29">I66*365</f>
        <v>18.25</v>
      </c>
      <c r="P66" s="4">
        <f t="shared" ref="P66:P97" si="30">I66*1825</f>
        <v>91.25</v>
      </c>
      <c r="Q66" s="4">
        <f t="shared" ref="Q66:Q97" si="31">I66*3650</f>
        <v>182.5</v>
      </c>
      <c r="R66" s="5">
        <f t="shared" ref="R66:R97" si="32">IF(D66="Linear",K66*J66*(G66/100),IF(I66&gt;0,(1+((G66/100)*J66))^(1/(I66*365))-1,0))</f>
        <v>7.6209326857989979E-4</v>
      </c>
      <c r="S66" s="5">
        <f t="shared" ref="S66:S97" si="33">IF(D66="Linear",L66*J66*(G66/100),(1+((G66/100)*J66))^(1/365)-1)</f>
        <v>3.8090876586904798E-5</v>
      </c>
      <c r="T66" s="5">
        <f t="shared" ref="T66:T97" si="34">IF(D66="Linear",M66*J66*(G66/100),(1+((G66/100)*J66))^(7/365)-1)</f>
        <v>2.6666660725549463E-4</v>
      </c>
      <c r="U66" s="5">
        <f t="shared" ref="U66:U97" si="35">IF(D66="Linear",N66*J66*(G66/100),(1+((G66/100)*J66))^(30/365)-1)</f>
        <v>1.1433576700208281E-3</v>
      </c>
      <c r="V66" s="5">
        <f t="shared" ref="V66:V97" si="36">IF(D66="Linear",O66*J66*(G66/100),(1+((G66/100)*J66))-1)</f>
        <v>1.4000000000000012E-2</v>
      </c>
      <c r="W66" s="5">
        <f t="shared" ref="W66:W97" si="37">IF(D66="Linear",P66*J66*(G66/100),(1+((G66/100)*J66))^5-1)</f>
        <v>7.1987632617824371E-2</v>
      </c>
      <c r="X66" s="5">
        <f t="shared" ref="X66:X97" si="38">IF(D66="Linear",Q66*J66*(G66/100),(1+((G66/100)*J66))^10-1)</f>
        <v>0.14915748448556765</v>
      </c>
      <c r="Y66" s="3" t="s">
        <v>276</v>
      </c>
      <c r="Z66" s="3" t="s">
        <v>15</v>
      </c>
    </row>
    <row r="67" spans="1:26" ht="34.15" customHeight="1" x14ac:dyDescent="0.25">
      <c r="A67" s="3">
        <v>5</v>
      </c>
      <c r="B67" s="3" t="s">
        <v>116</v>
      </c>
      <c r="C67" s="3"/>
      <c r="D67" s="3" t="s">
        <v>49</v>
      </c>
      <c r="E67" s="3" t="s">
        <v>50</v>
      </c>
      <c r="F67" s="3" t="s">
        <v>121</v>
      </c>
      <c r="G67" s="4">
        <v>-10</v>
      </c>
      <c r="H67" s="3" t="s">
        <v>266</v>
      </c>
      <c r="I67" s="4">
        <v>0.08</v>
      </c>
      <c r="J67" s="5">
        <v>0.4</v>
      </c>
      <c r="K67" s="4">
        <f>1</f>
        <v>1</v>
      </c>
      <c r="L67" s="4">
        <f t="shared" si="26"/>
        <v>0.08</v>
      </c>
      <c r="M67" s="4">
        <f t="shared" si="27"/>
        <v>0.56000000000000005</v>
      </c>
      <c r="N67" s="4">
        <f t="shared" si="28"/>
        <v>2.4</v>
      </c>
      <c r="O67" s="4">
        <f t="shared" si="29"/>
        <v>29.2</v>
      </c>
      <c r="P67" s="4">
        <f t="shared" si="30"/>
        <v>146</v>
      </c>
      <c r="Q67" s="4">
        <f t="shared" si="31"/>
        <v>292</v>
      </c>
      <c r="R67" s="5">
        <f t="shared" si="32"/>
        <v>-1.3970367453094434E-3</v>
      </c>
      <c r="S67" s="5">
        <f t="shared" si="33"/>
        <v>-1.1183482689691715E-4</v>
      </c>
      <c r="T67" s="5">
        <f t="shared" si="34"/>
        <v>-7.8258118962926115E-4</v>
      </c>
      <c r="U67" s="5">
        <f t="shared" si="35"/>
        <v>-3.3496099240302168E-3</v>
      </c>
      <c r="V67" s="5">
        <f t="shared" si="36"/>
        <v>-4.0000000000000036E-2</v>
      </c>
      <c r="W67" s="5">
        <f t="shared" si="37"/>
        <v>-0.18462730240000003</v>
      </c>
      <c r="X67" s="5">
        <f t="shared" si="38"/>
        <v>-0.335167364008499</v>
      </c>
      <c r="Y67" s="3" t="s">
        <v>278</v>
      </c>
      <c r="Z67" s="3" t="s">
        <v>15</v>
      </c>
    </row>
    <row r="68" spans="1:26" ht="34.15" customHeight="1" x14ac:dyDescent="0.25">
      <c r="A68" s="3">
        <v>6</v>
      </c>
      <c r="B68" s="3" t="s">
        <v>116</v>
      </c>
      <c r="C68" s="3"/>
      <c r="D68" s="3" t="s">
        <v>49</v>
      </c>
      <c r="E68" s="3" t="s">
        <v>50</v>
      </c>
      <c r="F68" s="3" t="s">
        <v>122</v>
      </c>
      <c r="G68" s="4">
        <v>-15</v>
      </c>
      <c r="H68" s="3" t="s">
        <v>266</v>
      </c>
      <c r="I68" s="4">
        <v>0.15</v>
      </c>
      <c r="J68" s="5">
        <v>0.25</v>
      </c>
      <c r="K68" s="4">
        <f>1</f>
        <v>1</v>
      </c>
      <c r="L68" s="4">
        <f t="shared" si="26"/>
        <v>0.15</v>
      </c>
      <c r="M68" s="4">
        <f t="shared" si="27"/>
        <v>1.05</v>
      </c>
      <c r="N68" s="4">
        <f t="shared" si="28"/>
        <v>4.5</v>
      </c>
      <c r="O68" s="4">
        <f t="shared" si="29"/>
        <v>54.75</v>
      </c>
      <c r="P68" s="4">
        <f t="shared" si="30"/>
        <v>273.75</v>
      </c>
      <c r="Q68" s="4">
        <f t="shared" si="31"/>
        <v>547.5</v>
      </c>
      <c r="R68" s="5">
        <f t="shared" si="32"/>
        <v>-6.9786072560407142E-4</v>
      </c>
      <c r="S68" s="5">
        <f t="shared" si="33"/>
        <v>-1.0471016906976605E-4</v>
      </c>
      <c r="T68" s="5">
        <f t="shared" si="34"/>
        <v>-7.327409750564895E-4</v>
      </c>
      <c r="U68" s="5">
        <f t="shared" si="35"/>
        <v>-3.1365402944584231E-3</v>
      </c>
      <c r="V68" s="5">
        <f t="shared" si="36"/>
        <v>-3.7499999999999978E-2</v>
      </c>
      <c r="W68" s="5">
        <f t="shared" si="37"/>
        <v>-0.17395503021240211</v>
      </c>
      <c r="X68" s="5">
        <f t="shared" si="38"/>
        <v>-0.31764970788860647</v>
      </c>
      <c r="Y68" s="3" t="s">
        <v>279</v>
      </c>
      <c r="Z68" s="3" t="s">
        <v>15</v>
      </c>
    </row>
    <row r="69" spans="1:26" ht="34.15" customHeight="1" x14ac:dyDescent="0.25">
      <c r="A69" s="3">
        <v>7</v>
      </c>
      <c r="B69" s="3" t="s">
        <v>116</v>
      </c>
      <c r="C69" s="3"/>
      <c r="D69" s="3" t="s">
        <v>49</v>
      </c>
      <c r="E69" s="3" t="s">
        <v>50</v>
      </c>
      <c r="F69" s="3" t="s">
        <v>123</v>
      </c>
      <c r="G69" s="4">
        <v>-70</v>
      </c>
      <c r="H69" s="3" t="s">
        <v>266</v>
      </c>
      <c r="I69" s="4">
        <v>0.3</v>
      </c>
      <c r="J69" s="5">
        <v>0.15</v>
      </c>
      <c r="K69" s="4">
        <f>1</f>
        <v>1</v>
      </c>
      <c r="L69" s="4">
        <f t="shared" si="26"/>
        <v>0.3</v>
      </c>
      <c r="M69" s="4">
        <f t="shared" si="27"/>
        <v>2.1</v>
      </c>
      <c r="N69" s="4">
        <f t="shared" si="28"/>
        <v>9</v>
      </c>
      <c r="O69" s="4">
        <f t="shared" si="29"/>
        <v>109.5</v>
      </c>
      <c r="P69" s="4">
        <f t="shared" si="30"/>
        <v>547.5</v>
      </c>
      <c r="Q69" s="4">
        <f t="shared" si="31"/>
        <v>1095</v>
      </c>
      <c r="R69" s="5">
        <f t="shared" si="32"/>
        <v>-1.0125606279370869E-3</v>
      </c>
      <c r="S69" s="5">
        <f t="shared" si="33"/>
        <v>-3.038759044914352E-4</v>
      </c>
      <c r="T69" s="5">
        <f t="shared" si="34"/>
        <v>-2.125193161371941E-3</v>
      </c>
      <c r="U69" s="5">
        <f t="shared" si="35"/>
        <v>-9.0762226794107725E-3</v>
      </c>
      <c r="V69" s="5">
        <f t="shared" si="36"/>
        <v>-0.10499999999999998</v>
      </c>
      <c r="W69" s="5">
        <f t="shared" si="37"/>
        <v>-0.42573125969062497</v>
      </c>
      <c r="X69" s="5">
        <f t="shared" si="38"/>
        <v>-0.67021541390348371</v>
      </c>
      <c r="Y69" s="3" t="s">
        <v>280</v>
      </c>
      <c r="Z69" s="3" t="s">
        <v>15</v>
      </c>
    </row>
    <row r="70" spans="1:26" ht="34.15" customHeight="1" x14ac:dyDescent="0.25">
      <c r="A70" s="3">
        <v>8</v>
      </c>
      <c r="B70" s="3" t="s">
        <v>116</v>
      </c>
      <c r="C70" s="3"/>
      <c r="D70" s="3" t="s">
        <v>49</v>
      </c>
      <c r="E70" s="3" t="s">
        <v>81</v>
      </c>
      <c r="F70" s="3" t="s">
        <v>124</v>
      </c>
      <c r="G70" s="4">
        <v>36</v>
      </c>
      <c r="H70" s="3" t="s">
        <v>266</v>
      </c>
      <c r="I70" s="4">
        <v>0.05</v>
      </c>
      <c r="J70" s="5">
        <v>0.7</v>
      </c>
      <c r="K70" s="4">
        <f>1</f>
        <v>1</v>
      </c>
      <c r="L70" s="4">
        <f t="shared" si="26"/>
        <v>0.05</v>
      </c>
      <c r="M70" s="4">
        <f t="shared" si="27"/>
        <v>0.35000000000000003</v>
      </c>
      <c r="N70" s="4">
        <f t="shared" si="28"/>
        <v>1.5</v>
      </c>
      <c r="O70" s="4">
        <f t="shared" si="29"/>
        <v>18.25</v>
      </c>
      <c r="P70" s="4">
        <f t="shared" si="30"/>
        <v>91.25</v>
      </c>
      <c r="Q70" s="4">
        <f t="shared" si="31"/>
        <v>182.5</v>
      </c>
      <c r="R70" s="5">
        <f t="shared" si="32"/>
        <v>1.2390782534198896E-2</v>
      </c>
      <c r="S70" s="5">
        <f t="shared" si="33"/>
        <v>6.159218559289581E-4</v>
      </c>
      <c r="T70" s="5">
        <f t="shared" si="34"/>
        <v>4.3194277288851612E-3</v>
      </c>
      <c r="U70" s="5">
        <f t="shared" si="35"/>
        <v>1.8643629761337932E-2</v>
      </c>
      <c r="V70" s="5">
        <f t="shared" si="36"/>
        <v>0.252</v>
      </c>
      <c r="W70" s="5">
        <f t="shared" si="37"/>
        <v>2.076250125100032</v>
      </c>
      <c r="X70" s="5">
        <f t="shared" si="38"/>
        <v>8.4633148321779643</v>
      </c>
      <c r="Y70" s="3" t="s">
        <v>276</v>
      </c>
      <c r="Z70" s="3" t="s">
        <v>15</v>
      </c>
    </row>
    <row r="71" spans="1:26" ht="34.15" customHeight="1" x14ac:dyDescent="0.25">
      <c r="A71" s="3">
        <v>9</v>
      </c>
      <c r="B71" s="3" t="s">
        <v>116</v>
      </c>
      <c r="C71" s="3"/>
      <c r="D71" s="3" t="s">
        <v>49</v>
      </c>
      <c r="E71" s="3" t="s">
        <v>81</v>
      </c>
      <c r="F71" s="3" t="s">
        <v>125</v>
      </c>
      <c r="G71" s="4">
        <v>28.35</v>
      </c>
      <c r="H71" s="3" t="s">
        <v>266</v>
      </c>
      <c r="I71" s="4">
        <v>0.05</v>
      </c>
      <c r="J71" s="5">
        <v>0.7</v>
      </c>
      <c r="K71" s="4">
        <f>1</f>
        <v>1</v>
      </c>
      <c r="L71" s="4">
        <f t="shared" si="26"/>
        <v>0.05</v>
      </c>
      <c r="M71" s="4">
        <f t="shared" si="27"/>
        <v>0.35000000000000003</v>
      </c>
      <c r="N71" s="4">
        <f t="shared" si="28"/>
        <v>1.5</v>
      </c>
      <c r="O71" s="4">
        <f t="shared" si="29"/>
        <v>18.25</v>
      </c>
      <c r="P71" s="4">
        <f t="shared" si="30"/>
        <v>91.25</v>
      </c>
      <c r="Q71" s="4">
        <f t="shared" si="31"/>
        <v>182.5</v>
      </c>
      <c r="R71" s="5">
        <f t="shared" si="32"/>
        <v>9.9687606095892889E-3</v>
      </c>
      <c r="S71" s="5">
        <f t="shared" si="33"/>
        <v>4.9609302772912756E-4</v>
      </c>
      <c r="T71" s="5">
        <f t="shared" si="34"/>
        <v>3.4778237436006165E-3</v>
      </c>
      <c r="U71" s="5">
        <f t="shared" si="35"/>
        <v>1.4990345299142005E-2</v>
      </c>
      <c r="V71" s="5">
        <f t="shared" si="36"/>
        <v>0.19845000000000002</v>
      </c>
      <c r="W71" s="5">
        <f t="shared" si="37"/>
        <v>1.4722910616108233</v>
      </c>
      <c r="X71" s="5">
        <f t="shared" si="38"/>
        <v>5.1122230933207717</v>
      </c>
      <c r="Y71" s="3" t="s">
        <v>276</v>
      </c>
      <c r="Z71" s="3" t="s">
        <v>15</v>
      </c>
    </row>
    <row r="72" spans="1:26" ht="34.15" customHeight="1" x14ac:dyDescent="0.25">
      <c r="A72" s="3">
        <v>10</v>
      </c>
      <c r="B72" s="3" t="s">
        <v>116</v>
      </c>
      <c r="C72" s="3"/>
      <c r="D72" s="3" t="s">
        <v>49</v>
      </c>
      <c r="E72" s="3" t="s">
        <v>81</v>
      </c>
      <c r="F72" s="3" t="s">
        <v>126</v>
      </c>
      <c r="G72" s="4">
        <v>8</v>
      </c>
      <c r="H72" s="3" t="s">
        <v>266</v>
      </c>
      <c r="I72" s="4">
        <v>0.05</v>
      </c>
      <c r="J72" s="5">
        <v>0.7</v>
      </c>
      <c r="K72" s="4">
        <f>1</f>
        <v>1</v>
      </c>
      <c r="L72" s="4">
        <f t="shared" si="26"/>
        <v>0.05</v>
      </c>
      <c r="M72" s="4">
        <f t="shared" si="27"/>
        <v>0.35000000000000003</v>
      </c>
      <c r="N72" s="4">
        <f t="shared" si="28"/>
        <v>1.5</v>
      </c>
      <c r="O72" s="4">
        <f t="shared" si="29"/>
        <v>18.25</v>
      </c>
      <c r="P72" s="4">
        <f t="shared" si="30"/>
        <v>91.25</v>
      </c>
      <c r="Q72" s="4">
        <f t="shared" si="31"/>
        <v>182.5</v>
      </c>
      <c r="R72" s="5">
        <f t="shared" si="32"/>
        <v>2.9901154921008199E-3</v>
      </c>
      <c r="S72" s="5">
        <f t="shared" si="33"/>
        <v>1.4929384262507561E-4</v>
      </c>
      <c r="T72" s="5">
        <f t="shared" si="34"/>
        <v>1.0455250765377677E-3</v>
      </c>
      <c r="U72" s="5">
        <f t="shared" si="35"/>
        <v>4.4885243656431761E-3</v>
      </c>
      <c r="V72" s="5">
        <f t="shared" si="36"/>
        <v>5.600000000000005E-2</v>
      </c>
      <c r="W72" s="5">
        <f t="shared" si="37"/>
        <v>0.31316588321177652</v>
      </c>
      <c r="X72" s="5">
        <f t="shared" si="38"/>
        <v>0.7244046368313648</v>
      </c>
      <c r="Y72" s="3" t="s">
        <v>276</v>
      </c>
      <c r="Z72" s="3" t="s">
        <v>15</v>
      </c>
    </row>
    <row r="73" spans="1:26" ht="34.15" customHeight="1" x14ac:dyDescent="0.25">
      <c r="A73" s="3">
        <v>1</v>
      </c>
      <c r="B73" s="3" t="s">
        <v>127</v>
      </c>
      <c r="C73" s="3" t="s">
        <v>129</v>
      </c>
      <c r="D73" s="3" t="s">
        <v>49</v>
      </c>
      <c r="E73" s="3" t="s">
        <v>50</v>
      </c>
      <c r="F73" s="3" t="s">
        <v>130</v>
      </c>
      <c r="G73" s="4">
        <v>10</v>
      </c>
      <c r="H73" s="3" t="s">
        <v>266</v>
      </c>
      <c r="I73" s="4">
        <v>0.05</v>
      </c>
      <c r="J73" s="5">
        <v>0.25</v>
      </c>
      <c r="K73" s="4">
        <f>1</f>
        <v>1</v>
      </c>
      <c r="L73" s="4">
        <f t="shared" si="26"/>
        <v>0.05</v>
      </c>
      <c r="M73" s="4">
        <f t="shared" si="27"/>
        <v>0.35000000000000003</v>
      </c>
      <c r="N73" s="4">
        <f t="shared" si="28"/>
        <v>1.5</v>
      </c>
      <c r="O73" s="4">
        <f t="shared" si="29"/>
        <v>18.25</v>
      </c>
      <c r="P73" s="4">
        <f t="shared" si="30"/>
        <v>91.25</v>
      </c>
      <c r="Q73" s="4">
        <f t="shared" si="31"/>
        <v>182.5</v>
      </c>
      <c r="R73" s="5">
        <f t="shared" si="32"/>
        <v>1.3539356123073443E-3</v>
      </c>
      <c r="S73" s="5">
        <f t="shared" si="33"/>
        <v>6.7653281778268237E-5</v>
      </c>
      <c r="T73" s="5">
        <f t="shared" si="34"/>
        <v>4.7366909958390657E-4</v>
      </c>
      <c r="U73" s="5">
        <f t="shared" si="35"/>
        <v>2.0315906915333581E-3</v>
      </c>
      <c r="V73" s="5">
        <f t="shared" si="36"/>
        <v>2.4999999999999911E-2</v>
      </c>
      <c r="W73" s="5">
        <f t="shared" si="37"/>
        <v>0.13140821289062465</v>
      </c>
      <c r="X73" s="5">
        <f t="shared" si="38"/>
        <v>0.28008454419635709</v>
      </c>
      <c r="Y73" s="3" t="s">
        <v>281</v>
      </c>
      <c r="Z73" s="3" t="s">
        <v>15</v>
      </c>
    </row>
    <row r="74" spans="1:26" ht="34.15" customHeight="1" x14ac:dyDescent="0.25">
      <c r="A74" s="3">
        <v>2</v>
      </c>
      <c r="B74" s="3" t="s">
        <v>127</v>
      </c>
      <c r="C74" s="3" t="s">
        <v>129</v>
      </c>
      <c r="D74" s="3" t="s">
        <v>49</v>
      </c>
      <c r="E74" s="3" t="s">
        <v>50</v>
      </c>
      <c r="F74" s="3" t="s">
        <v>131</v>
      </c>
      <c r="G74" s="4">
        <v>8</v>
      </c>
      <c r="H74" s="3" t="s">
        <v>266</v>
      </c>
      <c r="I74" s="4">
        <v>0.03</v>
      </c>
      <c r="J74" s="5">
        <v>0.5</v>
      </c>
      <c r="K74" s="4">
        <f>1</f>
        <v>1</v>
      </c>
      <c r="L74" s="4">
        <f t="shared" si="26"/>
        <v>0.03</v>
      </c>
      <c r="M74" s="4">
        <f t="shared" si="27"/>
        <v>0.21</v>
      </c>
      <c r="N74" s="4">
        <f t="shared" si="28"/>
        <v>0.89999999999999991</v>
      </c>
      <c r="O74" s="4">
        <f t="shared" si="29"/>
        <v>10.95</v>
      </c>
      <c r="P74" s="4">
        <f t="shared" si="30"/>
        <v>54.75</v>
      </c>
      <c r="Q74" s="4">
        <f t="shared" si="31"/>
        <v>109.5</v>
      </c>
      <c r="R74" s="5">
        <f t="shared" si="32"/>
        <v>3.5882226001462403E-3</v>
      </c>
      <c r="S74" s="5">
        <f t="shared" si="33"/>
        <v>1.0745978202786333E-4</v>
      </c>
      <c r="T74" s="5">
        <f t="shared" si="34"/>
        <v>7.5246101733150716E-4</v>
      </c>
      <c r="U74" s="5">
        <f t="shared" si="35"/>
        <v>3.2288217106277717E-3</v>
      </c>
      <c r="V74" s="5">
        <f t="shared" si="36"/>
        <v>4.0000000000000036E-2</v>
      </c>
      <c r="W74" s="5">
        <f t="shared" si="37"/>
        <v>0.21665290240000035</v>
      </c>
      <c r="X74" s="5">
        <f t="shared" si="38"/>
        <v>0.48024428491834459</v>
      </c>
      <c r="Y74" s="3" t="s">
        <v>282</v>
      </c>
      <c r="Z74" s="3" t="s">
        <v>15</v>
      </c>
    </row>
    <row r="75" spans="1:26" ht="34.15" customHeight="1" x14ac:dyDescent="0.25">
      <c r="A75" s="3">
        <v>3</v>
      </c>
      <c r="B75" s="3" t="s">
        <v>127</v>
      </c>
      <c r="C75" s="3" t="s">
        <v>129</v>
      </c>
      <c r="D75" s="3" t="s">
        <v>49</v>
      </c>
      <c r="E75" s="3" t="s">
        <v>50</v>
      </c>
      <c r="F75" s="3" t="s">
        <v>132</v>
      </c>
      <c r="G75" s="4">
        <v>7</v>
      </c>
      <c r="H75" s="3" t="s">
        <v>266</v>
      </c>
      <c r="I75" s="4">
        <v>0.03</v>
      </c>
      <c r="J75" s="5">
        <v>0.6</v>
      </c>
      <c r="K75" s="4">
        <f>1</f>
        <v>1</v>
      </c>
      <c r="L75" s="4">
        <f t="shared" si="26"/>
        <v>0.03</v>
      </c>
      <c r="M75" s="4">
        <f t="shared" si="27"/>
        <v>0.21</v>
      </c>
      <c r="N75" s="4">
        <f t="shared" si="28"/>
        <v>0.89999999999999991</v>
      </c>
      <c r="O75" s="4">
        <f t="shared" si="29"/>
        <v>10.95</v>
      </c>
      <c r="P75" s="4">
        <f t="shared" si="30"/>
        <v>54.75</v>
      </c>
      <c r="Q75" s="4">
        <f t="shared" si="31"/>
        <v>109.5</v>
      </c>
      <c r="R75" s="5">
        <f t="shared" si="32"/>
        <v>3.7643224301595613E-3</v>
      </c>
      <c r="S75" s="5">
        <f t="shared" si="33"/>
        <v>1.1272400583539621E-4</v>
      </c>
      <c r="T75" s="5">
        <f t="shared" si="34"/>
        <v>7.8933493171740032E-4</v>
      </c>
      <c r="U75" s="5">
        <f t="shared" si="35"/>
        <v>3.3872534099821383E-3</v>
      </c>
      <c r="V75" s="5">
        <f t="shared" si="36"/>
        <v>4.2000000000000037E-2</v>
      </c>
      <c r="W75" s="5">
        <f t="shared" si="37"/>
        <v>0.22839656917123241</v>
      </c>
      <c r="X75" s="5">
        <f t="shared" si="38"/>
        <v>0.50895813115165445</v>
      </c>
      <c r="Y75" s="3" t="s">
        <v>283</v>
      </c>
      <c r="Z75" s="3" t="s">
        <v>15</v>
      </c>
    </row>
    <row r="76" spans="1:26" ht="34.15" customHeight="1" x14ac:dyDescent="0.25">
      <c r="A76" s="3">
        <v>4</v>
      </c>
      <c r="B76" s="3" t="s">
        <v>127</v>
      </c>
      <c r="C76" s="3" t="s">
        <v>129</v>
      </c>
      <c r="D76" s="3" t="s">
        <v>49</v>
      </c>
      <c r="E76" s="3" t="s">
        <v>50</v>
      </c>
      <c r="F76" s="3" t="s">
        <v>133</v>
      </c>
      <c r="G76" s="4">
        <v>3</v>
      </c>
      <c r="H76" s="3" t="s">
        <v>266</v>
      </c>
      <c r="I76" s="4">
        <v>0.02</v>
      </c>
      <c r="J76" s="5">
        <v>0.5</v>
      </c>
      <c r="K76" s="4">
        <f>1</f>
        <v>1</v>
      </c>
      <c r="L76" s="4">
        <f t="shared" si="26"/>
        <v>0.02</v>
      </c>
      <c r="M76" s="4">
        <f t="shared" si="27"/>
        <v>0.14000000000000001</v>
      </c>
      <c r="N76" s="4">
        <f t="shared" si="28"/>
        <v>0.6</v>
      </c>
      <c r="O76" s="4">
        <f t="shared" si="29"/>
        <v>7.3</v>
      </c>
      <c r="P76" s="4">
        <f t="shared" si="30"/>
        <v>36.5</v>
      </c>
      <c r="Q76" s="4">
        <f t="shared" si="31"/>
        <v>73</v>
      </c>
      <c r="R76" s="5">
        <f t="shared" si="32"/>
        <v>2.0416172262101018E-3</v>
      </c>
      <c r="S76" s="5">
        <f t="shared" si="33"/>
        <v>4.0791551113583679E-5</v>
      </c>
      <c r="T76" s="5">
        <f t="shared" si="34"/>
        <v>2.8557580313481878E-4</v>
      </c>
      <c r="U76" s="5">
        <f t="shared" si="35"/>
        <v>1.2244706275879036E-3</v>
      </c>
      <c r="V76" s="5">
        <f t="shared" si="36"/>
        <v>1.4999999999999902E-2</v>
      </c>
      <c r="W76" s="5">
        <f t="shared" si="37"/>
        <v>7.7284003884374286E-2</v>
      </c>
      <c r="X76" s="5">
        <f t="shared" si="38"/>
        <v>0.16054082502514855</v>
      </c>
      <c r="Y76" s="3" t="s">
        <v>284</v>
      </c>
      <c r="Z76" s="3" t="s">
        <v>15</v>
      </c>
    </row>
    <row r="77" spans="1:26" ht="34.15" customHeight="1" x14ac:dyDescent="0.25">
      <c r="A77" s="3">
        <v>11</v>
      </c>
      <c r="B77" s="3" t="s">
        <v>127</v>
      </c>
      <c r="C77" s="3" t="s">
        <v>129</v>
      </c>
      <c r="D77" s="3" t="s">
        <v>49</v>
      </c>
      <c r="E77" s="3" t="s">
        <v>81</v>
      </c>
      <c r="F77" s="3" t="s">
        <v>134</v>
      </c>
      <c r="G77" s="4">
        <v>6.3</v>
      </c>
      <c r="H77" s="3" t="s">
        <v>266</v>
      </c>
      <c r="I77" s="4">
        <v>0.05</v>
      </c>
      <c r="J77" s="5">
        <v>0.25</v>
      </c>
      <c r="K77" s="4">
        <f>1</f>
        <v>1</v>
      </c>
      <c r="L77" s="4">
        <f t="shared" si="26"/>
        <v>0.05</v>
      </c>
      <c r="M77" s="4">
        <f t="shared" si="27"/>
        <v>0.35000000000000003</v>
      </c>
      <c r="N77" s="4">
        <f t="shared" si="28"/>
        <v>1.5</v>
      </c>
      <c r="O77" s="4">
        <f t="shared" si="29"/>
        <v>18.25</v>
      </c>
      <c r="P77" s="4">
        <f t="shared" si="30"/>
        <v>91.25</v>
      </c>
      <c r="Q77" s="4">
        <f t="shared" si="31"/>
        <v>182.5</v>
      </c>
      <c r="R77" s="5">
        <f t="shared" si="32"/>
        <v>8.5665471296603179E-4</v>
      </c>
      <c r="S77" s="5">
        <f t="shared" si="33"/>
        <v>4.2815316236399781E-5</v>
      </c>
      <c r="T77" s="5">
        <f t="shared" si="34"/>
        <v>2.9974571257884719E-4</v>
      </c>
      <c r="U77" s="5">
        <f t="shared" si="35"/>
        <v>1.285257226656622E-3</v>
      </c>
      <c r="V77" s="5">
        <f t="shared" si="36"/>
        <v>1.5749999999999931E-2</v>
      </c>
      <c r="W77" s="5">
        <f t="shared" si="37"/>
        <v>8.1270003487945663E-2</v>
      </c>
      <c r="X77" s="5">
        <f t="shared" si="38"/>
        <v>0.16914482044282231</v>
      </c>
      <c r="Y77" s="3" t="s">
        <v>281</v>
      </c>
      <c r="Z77" s="3" t="s">
        <v>15</v>
      </c>
    </row>
    <row r="78" spans="1:26" ht="34.15" customHeight="1" x14ac:dyDescent="0.25">
      <c r="A78" s="3">
        <v>12</v>
      </c>
      <c r="B78" s="3" t="s">
        <v>127</v>
      </c>
      <c r="C78" s="3" t="s">
        <v>129</v>
      </c>
      <c r="D78" s="3" t="s">
        <v>49</v>
      </c>
      <c r="E78" s="3" t="s">
        <v>81</v>
      </c>
      <c r="F78" s="3" t="s">
        <v>135</v>
      </c>
      <c r="G78" s="4">
        <v>5.04</v>
      </c>
      <c r="H78" s="3" t="s">
        <v>266</v>
      </c>
      <c r="I78" s="4">
        <v>0.03</v>
      </c>
      <c r="J78" s="5">
        <v>0.5</v>
      </c>
      <c r="K78" s="4">
        <f>1</f>
        <v>1</v>
      </c>
      <c r="L78" s="4">
        <f t="shared" si="26"/>
        <v>0.03</v>
      </c>
      <c r="M78" s="4">
        <f t="shared" si="27"/>
        <v>0.21</v>
      </c>
      <c r="N78" s="4">
        <f t="shared" si="28"/>
        <v>0.89999999999999991</v>
      </c>
      <c r="O78" s="4">
        <f t="shared" si="29"/>
        <v>10.95</v>
      </c>
      <c r="P78" s="4">
        <f t="shared" si="30"/>
        <v>54.75</v>
      </c>
      <c r="Q78" s="4">
        <f t="shared" si="31"/>
        <v>109.5</v>
      </c>
      <c r="R78" s="5">
        <f t="shared" si="32"/>
        <v>2.2754356145076038E-3</v>
      </c>
      <c r="S78" s="5">
        <f t="shared" si="33"/>
        <v>6.8187846624656601E-5</v>
      </c>
      <c r="T78" s="5">
        <f t="shared" si="34"/>
        <v>4.7741257870081988E-4</v>
      </c>
      <c r="U78" s="5">
        <f t="shared" si="35"/>
        <v>2.0476592548910322E-3</v>
      </c>
      <c r="V78" s="5">
        <f t="shared" si="36"/>
        <v>2.5199999999999889E-2</v>
      </c>
      <c r="W78" s="5">
        <f t="shared" si="37"/>
        <v>0.13251245662155764</v>
      </c>
      <c r="X78" s="5">
        <f t="shared" si="38"/>
        <v>0.28258446440299512</v>
      </c>
      <c r="Y78" s="3" t="s">
        <v>282</v>
      </c>
      <c r="Z78" s="3" t="s">
        <v>15</v>
      </c>
    </row>
    <row r="79" spans="1:26" ht="34.15" customHeight="1" x14ac:dyDescent="0.25">
      <c r="A79" s="3">
        <v>13</v>
      </c>
      <c r="B79" s="3" t="s">
        <v>127</v>
      </c>
      <c r="C79" s="3" t="s">
        <v>129</v>
      </c>
      <c r="D79" s="3" t="s">
        <v>49</v>
      </c>
      <c r="E79" s="3" t="s">
        <v>81</v>
      </c>
      <c r="F79" s="3" t="s">
        <v>136</v>
      </c>
      <c r="G79" s="4">
        <v>4.41</v>
      </c>
      <c r="H79" s="3" t="s">
        <v>266</v>
      </c>
      <c r="I79" s="4">
        <v>0.03</v>
      </c>
      <c r="J79" s="5">
        <v>0.6</v>
      </c>
      <c r="K79" s="4">
        <f>1</f>
        <v>1</v>
      </c>
      <c r="L79" s="4">
        <f t="shared" si="26"/>
        <v>0.03</v>
      </c>
      <c r="M79" s="4">
        <f t="shared" si="27"/>
        <v>0.21</v>
      </c>
      <c r="N79" s="4">
        <f t="shared" si="28"/>
        <v>0.89999999999999991</v>
      </c>
      <c r="O79" s="4">
        <f t="shared" si="29"/>
        <v>10.95</v>
      </c>
      <c r="P79" s="4">
        <f t="shared" si="30"/>
        <v>54.75</v>
      </c>
      <c r="Q79" s="4">
        <f t="shared" si="31"/>
        <v>109.5</v>
      </c>
      <c r="R79" s="5">
        <f t="shared" si="32"/>
        <v>2.3878682858142763E-3</v>
      </c>
      <c r="S79" s="5">
        <f t="shared" si="33"/>
        <v>7.15532155701748E-5</v>
      </c>
      <c r="T79" s="5">
        <f t="shared" si="34"/>
        <v>5.0098003893039866E-4</v>
      </c>
      <c r="U79" s="5">
        <f t="shared" si="35"/>
        <v>2.1488250954333488E-3</v>
      </c>
      <c r="V79" s="5">
        <f t="shared" si="36"/>
        <v>2.6459999999999928E-2</v>
      </c>
      <c r="W79" s="5">
        <f t="shared" si="37"/>
        <v>0.13948903471292162</v>
      </c>
      <c r="X79" s="5">
        <f t="shared" si="38"/>
        <v>0.29843526023098566</v>
      </c>
      <c r="Y79" s="3" t="s">
        <v>283</v>
      </c>
      <c r="Z79" s="3" t="s">
        <v>15</v>
      </c>
    </row>
    <row r="80" spans="1:26" ht="34.15" customHeight="1" x14ac:dyDescent="0.25">
      <c r="A80" s="3">
        <v>14</v>
      </c>
      <c r="B80" s="3" t="s">
        <v>127</v>
      </c>
      <c r="C80" s="3" t="s">
        <v>129</v>
      </c>
      <c r="D80" s="3" t="s">
        <v>49</v>
      </c>
      <c r="E80" s="3" t="s">
        <v>81</v>
      </c>
      <c r="F80" s="3" t="s">
        <v>137</v>
      </c>
      <c r="G80" s="4">
        <v>2.2000000000000002</v>
      </c>
      <c r="H80" s="3" t="s">
        <v>266</v>
      </c>
      <c r="I80" s="4">
        <v>0.02</v>
      </c>
      <c r="J80" s="5">
        <v>0.5</v>
      </c>
      <c r="K80" s="4">
        <f>1</f>
        <v>1</v>
      </c>
      <c r="L80" s="4">
        <f t="shared" si="26"/>
        <v>0.02</v>
      </c>
      <c r="M80" s="4">
        <f t="shared" si="27"/>
        <v>0.14000000000000001</v>
      </c>
      <c r="N80" s="4">
        <f t="shared" si="28"/>
        <v>0.6</v>
      </c>
      <c r="O80" s="4">
        <f t="shared" si="29"/>
        <v>7.3</v>
      </c>
      <c r="P80" s="4">
        <f t="shared" si="30"/>
        <v>36.5</v>
      </c>
      <c r="Q80" s="4">
        <f t="shared" si="31"/>
        <v>73</v>
      </c>
      <c r="R80" s="5">
        <f t="shared" si="32"/>
        <v>1.4997454180549763E-3</v>
      </c>
      <c r="S80" s="5">
        <f t="shared" si="33"/>
        <v>2.9972887639173607E-5</v>
      </c>
      <c r="T80" s="5">
        <f t="shared" si="34"/>
        <v>2.0982908027078473E-4</v>
      </c>
      <c r="U80" s="5">
        <f t="shared" si="35"/>
        <v>8.9957753120861739E-4</v>
      </c>
      <c r="V80" s="5">
        <f t="shared" si="36"/>
        <v>1.0999999999999899E-2</v>
      </c>
      <c r="W80" s="5">
        <f t="shared" si="37"/>
        <v>5.6223383366050594E-2</v>
      </c>
      <c r="X80" s="5">
        <f t="shared" si="38"/>
        <v>0.11560783556922716</v>
      </c>
      <c r="Y80" s="3" t="s">
        <v>284</v>
      </c>
      <c r="Z80" s="3" t="s">
        <v>15</v>
      </c>
    </row>
    <row r="81" spans="1:26" ht="34.15" customHeight="1" x14ac:dyDescent="0.25">
      <c r="A81" s="3">
        <v>5</v>
      </c>
      <c r="B81" s="3" t="s">
        <v>127</v>
      </c>
      <c r="C81" s="3" t="s">
        <v>138</v>
      </c>
      <c r="D81" s="3" t="s">
        <v>139</v>
      </c>
      <c r="E81" s="3" t="s">
        <v>50</v>
      </c>
      <c r="F81" s="3" t="s">
        <v>140</v>
      </c>
      <c r="G81" s="4">
        <v>-8</v>
      </c>
      <c r="H81" s="3" t="s">
        <v>285</v>
      </c>
      <c r="I81" s="4">
        <v>3</v>
      </c>
      <c r="J81" s="5">
        <v>0.03</v>
      </c>
      <c r="K81" s="4">
        <f>1</f>
        <v>1</v>
      </c>
      <c r="L81" s="4">
        <f t="shared" si="26"/>
        <v>3</v>
      </c>
      <c r="M81" s="4">
        <f t="shared" si="27"/>
        <v>21</v>
      </c>
      <c r="N81" s="4">
        <f t="shared" si="28"/>
        <v>90</v>
      </c>
      <c r="O81" s="4">
        <f t="shared" si="29"/>
        <v>1095</v>
      </c>
      <c r="P81" s="4">
        <f t="shared" si="30"/>
        <v>5475</v>
      </c>
      <c r="Q81" s="4">
        <f t="shared" si="31"/>
        <v>10950</v>
      </c>
      <c r="R81" s="5">
        <f t="shared" si="32"/>
        <v>-2.3999999999999998E-3</v>
      </c>
      <c r="S81" s="5">
        <f t="shared" si="33"/>
        <v>-7.1999999999999998E-3</v>
      </c>
      <c r="T81" s="5">
        <f t="shared" si="34"/>
        <v>-5.04E-2</v>
      </c>
      <c r="U81" s="5">
        <f t="shared" si="35"/>
        <v>-0.21599999999999997</v>
      </c>
      <c r="V81" s="5">
        <f t="shared" si="36"/>
        <v>-2.6280000000000001</v>
      </c>
      <c r="W81" s="5">
        <f t="shared" si="37"/>
        <v>-13.14</v>
      </c>
      <c r="X81" s="5">
        <f t="shared" si="38"/>
        <v>-26.28</v>
      </c>
      <c r="Y81" s="3" t="s">
        <v>286</v>
      </c>
      <c r="Z81" s="3" t="s">
        <v>15</v>
      </c>
    </row>
    <row r="82" spans="1:26" ht="34.15" customHeight="1" x14ac:dyDescent="0.25">
      <c r="A82" s="3">
        <v>6</v>
      </c>
      <c r="B82" s="3" t="s">
        <v>127</v>
      </c>
      <c r="C82" s="3" t="s">
        <v>138</v>
      </c>
      <c r="D82" s="3" t="s">
        <v>139</v>
      </c>
      <c r="E82" s="3" t="s">
        <v>50</v>
      </c>
      <c r="F82" s="3" t="s">
        <v>141</v>
      </c>
      <c r="G82" s="4">
        <v>-15</v>
      </c>
      <c r="H82" s="3" t="s">
        <v>285</v>
      </c>
      <c r="I82" s="4">
        <v>1</v>
      </c>
      <c r="J82" s="5">
        <v>0.03</v>
      </c>
      <c r="K82" s="4">
        <f>1</f>
        <v>1</v>
      </c>
      <c r="L82" s="4">
        <f t="shared" si="26"/>
        <v>1</v>
      </c>
      <c r="M82" s="4">
        <f t="shared" si="27"/>
        <v>7</v>
      </c>
      <c r="N82" s="4">
        <f t="shared" si="28"/>
        <v>30</v>
      </c>
      <c r="O82" s="4">
        <f t="shared" si="29"/>
        <v>365</v>
      </c>
      <c r="P82" s="4">
        <f t="shared" si="30"/>
        <v>1825</v>
      </c>
      <c r="Q82" s="4">
        <f t="shared" si="31"/>
        <v>3650</v>
      </c>
      <c r="R82" s="5">
        <f t="shared" si="32"/>
        <v>-4.4999999999999997E-3</v>
      </c>
      <c r="S82" s="5">
        <f t="shared" si="33"/>
        <v>-4.4999999999999997E-3</v>
      </c>
      <c r="T82" s="5">
        <f t="shared" si="34"/>
        <v>-3.15E-2</v>
      </c>
      <c r="U82" s="5">
        <f t="shared" si="35"/>
        <v>-0.13499999999999998</v>
      </c>
      <c r="V82" s="5">
        <f t="shared" si="36"/>
        <v>-1.6424999999999998</v>
      </c>
      <c r="W82" s="5">
        <f t="shared" si="37"/>
        <v>-8.2125000000000004</v>
      </c>
      <c r="X82" s="5">
        <f t="shared" si="38"/>
        <v>-16.425000000000001</v>
      </c>
      <c r="Y82" s="3" t="s">
        <v>287</v>
      </c>
      <c r="Z82" s="3" t="s">
        <v>15</v>
      </c>
    </row>
    <row r="83" spans="1:26" ht="34.15" customHeight="1" x14ac:dyDescent="0.25">
      <c r="A83" s="3">
        <v>7</v>
      </c>
      <c r="B83" s="3" t="s">
        <v>127</v>
      </c>
      <c r="C83" s="3" t="s">
        <v>138</v>
      </c>
      <c r="D83" s="3" t="s">
        <v>139</v>
      </c>
      <c r="E83" s="3" t="s">
        <v>50</v>
      </c>
      <c r="F83" s="3" t="s">
        <v>142</v>
      </c>
      <c r="G83" s="4">
        <v>-25</v>
      </c>
      <c r="H83" s="3" t="s">
        <v>285</v>
      </c>
      <c r="I83" s="4">
        <v>8</v>
      </c>
      <c r="J83" s="5">
        <v>0.02</v>
      </c>
      <c r="K83" s="4">
        <f>1</f>
        <v>1</v>
      </c>
      <c r="L83" s="4">
        <f t="shared" si="26"/>
        <v>8</v>
      </c>
      <c r="M83" s="4">
        <f t="shared" si="27"/>
        <v>56</v>
      </c>
      <c r="N83" s="4">
        <f t="shared" si="28"/>
        <v>240</v>
      </c>
      <c r="O83" s="4">
        <f t="shared" si="29"/>
        <v>2920</v>
      </c>
      <c r="P83" s="4">
        <f t="shared" si="30"/>
        <v>14600</v>
      </c>
      <c r="Q83" s="4">
        <f t="shared" si="31"/>
        <v>29200</v>
      </c>
      <c r="R83" s="5">
        <f t="shared" si="32"/>
        <v>-5.0000000000000001E-3</v>
      </c>
      <c r="S83" s="5">
        <f t="shared" si="33"/>
        <v>-0.04</v>
      </c>
      <c r="T83" s="5">
        <f t="shared" si="34"/>
        <v>-0.28000000000000003</v>
      </c>
      <c r="U83" s="5">
        <f t="shared" si="35"/>
        <v>-1.2</v>
      </c>
      <c r="V83" s="5">
        <f t="shared" si="36"/>
        <v>-14.6</v>
      </c>
      <c r="W83" s="5">
        <f t="shared" si="37"/>
        <v>-73</v>
      </c>
      <c r="X83" s="5">
        <f t="shared" si="38"/>
        <v>-146</v>
      </c>
      <c r="Y83" s="3" t="s">
        <v>288</v>
      </c>
      <c r="Z83" s="3" t="s">
        <v>15</v>
      </c>
    </row>
    <row r="84" spans="1:26" ht="34.15" customHeight="1" x14ac:dyDescent="0.25">
      <c r="A84" s="3">
        <v>8</v>
      </c>
      <c r="B84" s="3" t="s">
        <v>127</v>
      </c>
      <c r="C84" s="3" t="s">
        <v>138</v>
      </c>
      <c r="D84" s="3" t="s">
        <v>139</v>
      </c>
      <c r="E84" s="3" t="s">
        <v>50</v>
      </c>
      <c r="F84" s="3" t="s">
        <v>143</v>
      </c>
      <c r="G84" s="4">
        <v>-35</v>
      </c>
      <c r="H84" s="3" t="s">
        <v>285</v>
      </c>
      <c r="I84" s="4">
        <v>2</v>
      </c>
      <c r="J84" s="5">
        <v>0.02</v>
      </c>
      <c r="K84" s="4">
        <f>1</f>
        <v>1</v>
      </c>
      <c r="L84" s="4">
        <f t="shared" si="26"/>
        <v>2</v>
      </c>
      <c r="M84" s="4">
        <f t="shared" si="27"/>
        <v>14</v>
      </c>
      <c r="N84" s="4">
        <f t="shared" si="28"/>
        <v>60</v>
      </c>
      <c r="O84" s="4">
        <f t="shared" si="29"/>
        <v>730</v>
      </c>
      <c r="P84" s="4">
        <f t="shared" si="30"/>
        <v>3650</v>
      </c>
      <c r="Q84" s="4">
        <f t="shared" si="31"/>
        <v>7300</v>
      </c>
      <c r="R84" s="5">
        <f t="shared" si="32"/>
        <v>-6.9999999999999993E-3</v>
      </c>
      <c r="S84" s="5">
        <f t="shared" si="33"/>
        <v>-1.3999999999999999E-2</v>
      </c>
      <c r="T84" s="5">
        <f t="shared" si="34"/>
        <v>-9.8000000000000004E-2</v>
      </c>
      <c r="U84" s="5">
        <f t="shared" si="35"/>
        <v>-0.42</v>
      </c>
      <c r="V84" s="5">
        <f t="shared" si="36"/>
        <v>-5.1099999999999994</v>
      </c>
      <c r="W84" s="5">
        <f t="shared" si="37"/>
        <v>-25.549999999999997</v>
      </c>
      <c r="X84" s="5">
        <f t="shared" si="38"/>
        <v>-51.099999999999994</v>
      </c>
      <c r="Y84" s="3" t="s">
        <v>289</v>
      </c>
      <c r="Z84" s="3" t="s">
        <v>15</v>
      </c>
    </row>
    <row r="85" spans="1:26" ht="34.15" customHeight="1" x14ac:dyDescent="0.25">
      <c r="A85" s="3">
        <v>9</v>
      </c>
      <c r="B85" s="3" t="s">
        <v>127</v>
      </c>
      <c r="C85" s="3" t="s">
        <v>138</v>
      </c>
      <c r="D85" s="3" t="s">
        <v>139</v>
      </c>
      <c r="E85" s="3" t="s">
        <v>50</v>
      </c>
      <c r="F85" s="3" t="s">
        <v>144</v>
      </c>
      <c r="G85" s="4">
        <v>-50</v>
      </c>
      <c r="H85" s="3" t="s">
        <v>285</v>
      </c>
      <c r="I85" s="4">
        <v>10</v>
      </c>
      <c r="J85" s="5">
        <v>0.01</v>
      </c>
      <c r="K85" s="4">
        <f>1</f>
        <v>1</v>
      </c>
      <c r="L85" s="4">
        <f t="shared" si="26"/>
        <v>10</v>
      </c>
      <c r="M85" s="4">
        <f t="shared" si="27"/>
        <v>70</v>
      </c>
      <c r="N85" s="4">
        <f t="shared" si="28"/>
        <v>300</v>
      </c>
      <c r="O85" s="4">
        <f t="shared" si="29"/>
        <v>3650</v>
      </c>
      <c r="P85" s="4">
        <f t="shared" si="30"/>
        <v>18250</v>
      </c>
      <c r="Q85" s="4">
        <f t="shared" si="31"/>
        <v>36500</v>
      </c>
      <c r="R85" s="5">
        <f t="shared" si="32"/>
        <v>-5.0000000000000001E-3</v>
      </c>
      <c r="S85" s="5">
        <f t="shared" si="33"/>
        <v>-0.05</v>
      </c>
      <c r="T85" s="5">
        <f t="shared" si="34"/>
        <v>-0.35000000000000003</v>
      </c>
      <c r="U85" s="5">
        <f t="shared" si="35"/>
        <v>-1.5</v>
      </c>
      <c r="V85" s="5">
        <f t="shared" si="36"/>
        <v>-18.25</v>
      </c>
      <c r="W85" s="5">
        <f t="shared" si="37"/>
        <v>-91.25</v>
      </c>
      <c r="X85" s="5">
        <f t="shared" si="38"/>
        <v>-182.5</v>
      </c>
      <c r="Y85" s="3" t="s">
        <v>290</v>
      </c>
      <c r="Z85" s="3" t="s">
        <v>15</v>
      </c>
    </row>
    <row r="86" spans="1:26" ht="34.15" customHeight="1" x14ac:dyDescent="0.25">
      <c r="A86" s="3">
        <v>10</v>
      </c>
      <c r="B86" s="3" t="s">
        <v>127</v>
      </c>
      <c r="C86" s="3" t="s">
        <v>138</v>
      </c>
      <c r="D86" s="3" t="s">
        <v>139</v>
      </c>
      <c r="E86" s="3" t="s">
        <v>50</v>
      </c>
      <c r="F86" s="3" t="s">
        <v>145</v>
      </c>
      <c r="G86" s="4">
        <v>-60</v>
      </c>
      <c r="H86" s="3" t="s">
        <v>285</v>
      </c>
      <c r="I86" s="4">
        <v>2</v>
      </c>
      <c r="J86" s="5">
        <v>0.02</v>
      </c>
      <c r="K86" s="4">
        <f>1</f>
        <v>1</v>
      </c>
      <c r="L86" s="4">
        <f t="shared" si="26"/>
        <v>2</v>
      </c>
      <c r="M86" s="4">
        <f t="shared" si="27"/>
        <v>14</v>
      </c>
      <c r="N86" s="4">
        <f t="shared" si="28"/>
        <v>60</v>
      </c>
      <c r="O86" s="4">
        <f t="shared" si="29"/>
        <v>730</v>
      </c>
      <c r="P86" s="4">
        <f t="shared" si="30"/>
        <v>3650</v>
      </c>
      <c r="Q86" s="4">
        <f t="shared" si="31"/>
        <v>7300</v>
      </c>
      <c r="R86" s="5">
        <f t="shared" si="32"/>
        <v>-1.2E-2</v>
      </c>
      <c r="S86" s="5">
        <f t="shared" si="33"/>
        <v>-2.4E-2</v>
      </c>
      <c r="T86" s="5">
        <f t="shared" si="34"/>
        <v>-0.16800000000000001</v>
      </c>
      <c r="U86" s="5">
        <f t="shared" si="35"/>
        <v>-0.72</v>
      </c>
      <c r="V86" s="5">
        <f t="shared" si="36"/>
        <v>-8.76</v>
      </c>
      <c r="W86" s="5">
        <f t="shared" si="37"/>
        <v>-43.8</v>
      </c>
      <c r="X86" s="5">
        <f t="shared" si="38"/>
        <v>-87.6</v>
      </c>
      <c r="Y86" s="3" t="s">
        <v>289</v>
      </c>
      <c r="Z86" s="3" t="s">
        <v>15</v>
      </c>
    </row>
    <row r="87" spans="1:26" ht="34.15" customHeight="1" x14ac:dyDescent="0.25">
      <c r="A87" s="3">
        <v>1</v>
      </c>
      <c r="B87" s="3" t="s">
        <v>146</v>
      </c>
      <c r="C87" s="3"/>
      <c r="D87" s="3" t="s">
        <v>49</v>
      </c>
      <c r="E87" s="3" t="s">
        <v>50</v>
      </c>
      <c r="F87" s="3" t="s">
        <v>147</v>
      </c>
      <c r="G87" s="4">
        <v>5</v>
      </c>
      <c r="H87" s="3" t="s">
        <v>266</v>
      </c>
      <c r="I87" s="4">
        <v>0.3</v>
      </c>
      <c r="J87" s="5">
        <v>0.5</v>
      </c>
      <c r="K87" s="4">
        <f>1</f>
        <v>1</v>
      </c>
      <c r="L87" s="4">
        <f t="shared" si="26"/>
        <v>0.3</v>
      </c>
      <c r="M87" s="4">
        <f t="shared" si="27"/>
        <v>2.1</v>
      </c>
      <c r="N87" s="4">
        <f t="shared" si="28"/>
        <v>9</v>
      </c>
      <c r="O87" s="4">
        <f t="shared" si="29"/>
        <v>109.5</v>
      </c>
      <c r="P87" s="4">
        <f t="shared" si="30"/>
        <v>547.5</v>
      </c>
      <c r="Q87" s="4">
        <f t="shared" si="31"/>
        <v>1095</v>
      </c>
      <c r="R87" s="5">
        <f t="shared" si="32"/>
        <v>2.2552873911063642E-4</v>
      </c>
      <c r="S87" s="5">
        <f t="shared" si="33"/>
        <v>6.7653281778268237E-5</v>
      </c>
      <c r="T87" s="5">
        <f t="shared" si="34"/>
        <v>4.7366909958390657E-4</v>
      </c>
      <c r="U87" s="5">
        <f t="shared" si="35"/>
        <v>2.0315906915333581E-3</v>
      </c>
      <c r="V87" s="5">
        <f t="shared" si="36"/>
        <v>2.4999999999999911E-2</v>
      </c>
      <c r="W87" s="5">
        <f t="shared" si="37"/>
        <v>0.13140821289062465</v>
      </c>
      <c r="X87" s="5">
        <f t="shared" si="38"/>
        <v>0.28008454419635709</v>
      </c>
      <c r="Y87" s="3" t="s">
        <v>291</v>
      </c>
      <c r="Z87" s="3" t="s">
        <v>15</v>
      </c>
    </row>
    <row r="88" spans="1:26" ht="34.15" customHeight="1" x14ac:dyDescent="0.25">
      <c r="A88" s="3">
        <v>2</v>
      </c>
      <c r="B88" s="3" t="s">
        <v>146</v>
      </c>
      <c r="C88" s="3"/>
      <c r="D88" s="3" t="s">
        <v>49</v>
      </c>
      <c r="E88" s="3" t="s">
        <v>50</v>
      </c>
      <c r="F88" s="3" t="s">
        <v>148</v>
      </c>
      <c r="G88" s="4">
        <v>-12</v>
      </c>
      <c r="H88" s="3" t="s">
        <v>266</v>
      </c>
      <c r="I88" s="4">
        <v>2</v>
      </c>
      <c r="J88" s="5">
        <v>0.05</v>
      </c>
      <c r="K88" s="4">
        <f>1</f>
        <v>1</v>
      </c>
      <c r="L88" s="4">
        <f t="shared" si="26"/>
        <v>2</v>
      </c>
      <c r="M88" s="4">
        <f t="shared" si="27"/>
        <v>14</v>
      </c>
      <c r="N88" s="4">
        <f t="shared" si="28"/>
        <v>60</v>
      </c>
      <c r="O88" s="4">
        <f t="shared" si="29"/>
        <v>730</v>
      </c>
      <c r="P88" s="4">
        <f t="shared" si="30"/>
        <v>3650</v>
      </c>
      <c r="Q88" s="4">
        <f t="shared" si="31"/>
        <v>7300</v>
      </c>
      <c r="R88" s="5">
        <f t="shared" si="32"/>
        <v>-8.2439007114132323E-6</v>
      </c>
      <c r="S88" s="5">
        <f t="shared" si="33"/>
        <v>-1.6487733460968101E-5</v>
      </c>
      <c r="T88" s="5">
        <f t="shared" si="34"/>
        <v>-1.1540842563095843E-4</v>
      </c>
      <c r="U88" s="5">
        <f t="shared" si="35"/>
        <v>-4.9451376929410262E-4</v>
      </c>
      <c r="V88" s="5">
        <f t="shared" si="36"/>
        <v>-6.0000000000000053E-3</v>
      </c>
      <c r="W88" s="5">
        <f t="shared" si="37"/>
        <v>-2.9642153527775883E-2</v>
      </c>
      <c r="X88" s="5">
        <f t="shared" si="38"/>
        <v>-5.8405649789787573E-2</v>
      </c>
      <c r="Y88" s="3" t="s">
        <v>292</v>
      </c>
      <c r="Z88" s="3" t="s">
        <v>15</v>
      </c>
    </row>
    <row r="89" spans="1:26" ht="34.15" customHeight="1" x14ac:dyDescent="0.25">
      <c r="A89" s="3">
        <v>3</v>
      </c>
      <c r="B89" s="3" t="s">
        <v>146</v>
      </c>
      <c r="C89" s="3"/>
      <c r="D89" s="3" t="s">
        <v>49</v>
      </c>
      <c r="E89" s="3" t="s">
        <v>50</v>
      </c>
      <c r="F89" s="3" t="s">
        <v>149</v>
      </c>
      <c r="G89" s="4">
        <v>-18</v>
      </c>
      <c r="H89" s="3" t="s">
        <v>266</v>
      </c>
      <c r="I89" s="4">
        <v>2</v>
      </c>
      <c r="J89" s="5">
        <v>0.05</v>
      </c>
      <c r="K89" s="4">
        <f>1</f>
        <v>1</v>
      </c>
      <c r="L89" s="4">
        <f t="shared" si="26"/>
        <v>2</v>
      </c>
      <c r="M89" s="4">
        <f t="shared" si="27"/>
        <v>14</v>
      </c>
      <c r="N89" s="4">
        <f t="shared" si="28"/>
        <v>60</v>
      </c>
      <c r="O89" s="4">
        <f t="shared" si="29"/>
        <v>730</v>
      </c>
      <c r="P89" s="4">
        <f t="shared" si="30"/>
        <v>3650</v>
      </c>
      <c r="Q89" s="4">
        <f t="shared" si="31"/>
        <v>7300</v>
      </c>
      <c r="R89" s="5">
        <f t="shared" si="32"/>
        <v>-1.2384505026608039E-5</v>
      </c>
      <c r="S89" s="5">
        <f t="shared" si="33"/>
        <v>-2.4768856677348516E-5</v>
      </c>
      <c r="T89" s="5">
        <f t="shared" si="34"/>
        <v>-1.7336911385179565E-4</v>
      </c>
      <c r="U89" s="5">
        <f t="shared" si="35"/>
        <v>-7.4279889113071373E-4</v>
      </c>
      <c r="V89" s="5">
        <f t="shared" si="36"/>
        <v>-9.000000000000008E-3</v>
      </c>
      <c r="W89" s="5">
        <f t="shared" si="37"/>
        <v>-4.4197257254048994E-2</v>
      </c>
      <c r="X89" s="5">
        <f t="shared" si="38"/>
        <v>-8.6441116959317443E-2</v>
      </c>
      <c r="Y89" s="3" t="s">
        <v>292</v>
      </c>
      <c r="Z89" s="3" t="s">
        <v>15</v>
      </c>
    </row>
    <row r="90" spans="1:26" ht="34.15" customHeight="1" x14ac:dyDescent="0.25">
      <c r="A90" s="3">
        <v>4</v>
      </c>
      <c r="B90" s="3" t="s">
        <v>146</v>
      </c>
      <c r="C90" s="3"/>
      <c r="D90" s="3" t="s">
        <v>49</v>
      </c>
      <c r="E90" s="3" t="s">
        <v>50</v>
      </c>
      <c r="F90" s="3" t="s">
        <v>150</v>
      </c>
      <c r="G90" s="4">
        <v>-25</v>
      </c>
      <c r="H90" s="3" t="s">
        <v>266</v>
      </c>
      <c r="I90" s="4">
        <v>6</v>
      </c>
      <c r="J90" s="5">
        <v>0.03</v>
      </c>
      <c r="K90" s="4">
        <f>1</f>
        <v>1</v>
      </c>
      <c r="L90" s="4">
        <f t="shared" si="26"/>
        <v>6</v>
      </c>
      <c r="M90" s="4">
        <f t="shared" si="27"/>
        <v>42</v>
      </c>
      <c r="N90" s="4">
        <f t="shared" si="28"/>
        <v>180</v>
      </c>
      <c r="O90" s="4">
        <f t="shared" si="29"/>
        <v>2190</v>
      </c>
      <c r="P90" s="4">
        <f t="shared" si="30"/>
        <v>10950</v>
      </c>
      <c r="Q90" s="4">
        <f t="shared" si="31"/>
        <v>21900</v>
      </c>
      <c r="R90" s="5">
        <f t="shared" si="32"/>
        <v>-3.4375586672741321E-6</v>
      </c>
      <c r="S90" s="5">
        <f t="shared" si="33"/>
        <v>-2.0625174752431086E-5</v>
      </c>
      <c r="T90" s="5">
        <f t="shared" si="34"/>
        <v>-1.4436729021927164E-4</v>
      </c>
      <c r="U90" s="5">
        <f t="shared" si="35"/>
        <v>-6.1857023013089929E-4</v>
      </c>
      <c r="V90" s="5">
        <f t="shared" si="36"/>
        <v>-7.4999999999999512E-3</v>
      </c>
      <c r="W90" s="5">
        <f t="shared" si="37"/>
        <v>-3.6941702953417699E-2</v>
      </c>
      <c r="X90" s="5">
        <f t="shared" si="38"/>
        <v>-7.2518716489736956E-2</v>
      </c>
      <c r="Y90" s="3" t="s">
        <v>293</v>
      </c>
      <c r="Z90" s="3" t="s">
        <v>15</v>
      </c>
    </row>
    <row r="91" spans="1:26" ht="34.15" customHeight="1" x14ac:dyDescent="0.25">
      <c r="A91" s="3">
        <v>5</v>
      </c>
      <c r="B91" s="3" t="s">
        <v>146</v>
      </c>
      <c r="C91" s="3"/>
      <c r="D91" s="3" t="s">
        <v>49</v>
      </c>
      <c r="E91" s="3" t="s">
        <v>50</v>
      </c>
      <c r="F91" s="3" t="s">
        <v>151</v>
      </c>
      <c r="G91" s="4">
        <v>-28</v>
      </c>
      <c r="H91" s="3" t="s">
        <v>266</v>
      </c>
      <c r="I91" s="4">
        <v>6</v>
      </c>
      <c r="J91" s="5">
        <v>0.03</v>
      </c>
      <c r="K91" s="4">
        <f>1</f>
        <v>1</v>
      </c>
      <c r="L91" s="4">
        <f t="shared" si="26"/>
        <v>6</v>
      </c>
      <c r="M91" s="4">
        <f t="shared" si="27"/>
        <v>42</v>
      </c>
      <c r="N91" s="4">
        <f t="shared" si="28"/>
        <v>180</v>
      </c>
      <c r="O91" s="4">
        <f t="shared" si="29"/>
        <v>2190</v>
      </c>
      <c r="P91" s="4">
        <f t="shared" si="30"/>
        <v>10950</v>
      </c>
      <c r="Q91" s="4">
        <f t="shared" si="31"/>
        <v>21900</v>
      </c>
      <c r="R91" s="5">
        <f t="shared" si="32"/>
        <v>-3.8518093951056542E-6</v>
      </c>
      <c r="S91" s="5">
        <f t="shared" si="33"/>
        <v>-2.3110633824874327E-5</v>
      </c>
      <c r="T91" s="5">
        <f t="shared" si="34"/>
        <v>-1.6176322107708252E-4</v>
      </c>
      <c r="U91" s="5">
        <f t="shared" si="35"/>
        <v>-6.9308673074686133E-4</v>
      </c>
      <c r="V91" s="5">
        <f t="shared" si="36"/>
        <v>-8.3999999999999631E-3</v>
      </c>
      <c r="W91" s="5">
        <f t="shared" si="37"/>
        <v>-4.130030218825298E-2</v>
      </c>
      <c r="X91" s="5">
        <f t="shared" si="38"/>
        <v>-8.0894889415664806E-2</v>
      </c>
      <c r="Y91" s="3" t="s">
        <v>293</v>
      </c>
      <c r="Z91" s="3" t="s">
        <v>15</v>
      </c>
    </row>
    <row r="92" spans="1:26" ht="34.15" customHeight="1" x14ac:dyDescent="0.25">
      <c r="A92" s="3">
        <v>6</v>
      </c>
      <c r="B92" s="3" t="s">
        <v>146</v>
      </c>
      <c r="C92" s="3"/>
      <c r="D92" s="3" t="s">
        <v>49</v>
      </c>
      <c r="E92" s="3" t="s">
        <v>50</v>
      </c>
      <c r="F92" s="3" t="s">
        <v>152</v>
      </c>
      <c r="G92" s="4">
        <v>-30</v>
      </c>
      <c r="H92" s="3" t="s">
        <v>266</v>
      </c>
      <c r="I92" s="4">
        <v>8</v>
      </c>
      <c r="J92" s="5">
        <v>0.03</v>
      </c>
      <c r="K92" s="4">
        <f>1</f>
        <v>1</v>
      </c>
      <c r="L92" s="4">
        <f t="shared" si="26"/>
        <v>8</v>
      </c>
      <c r="M92" s="4">
        <f t="shared" si="27"/>
        <v>56</v>
      </c>
      <c r="N92" s="4">
        <f t="shared" si="28"/>
        <v>240</v>
      </c>
      <c r="O92" s="4">
        <f t="shared" si="29"/>
        <v>2920</v>
      </c>
      <c r="P92" s="4">
        <f t="shared" si="30"/>
        <v>14600</v>
      </c>
      <c r="Q92" s="4">
        <f t="shared" si="31"/>
        <v>29200</v>
      </c>
      <c r="R92" s="5">
        <f t="shared" si="32"/>
        <v>-3.0961406357610244E-6</v>
      </c>
      <c r="S92" s="5">
        <f t="shared" si="33"/>
        <v>-2.4768856677348516E-5</v>
      </c>
      <c r="T92" s="5">
        <f t="shared" si="34"/>
        <v>-1.7336911385179565E-4</v>
      </c>
      <c r="U92" s="5">
        <f t="shared" si="35"/>
        <v>-7.4279889113071373E-4</v>
      </c>
      <c r="V92" s="5">
        <f t="shared" si="36"/>
        <v>-9.000000000000008E-3</v>
      </c>
      <c r="W92" s="5">
        <f t="shared" si="37"/>
        <v>-4.4197257254048994E-2</v>
      </c>
      <c r="X92" s="5">
        <f t="shared" si="38"/>
        <v>-8.6441116959317443E-2</v>
      </c>
      <c r="Y92" s="3" t="s">
        <v>294</v>
      </c>
      <c r="Z92" s="3" t="s">
        <v>15</v>
      </c>
    </row>
    <row r="93" spans="1:26" ht="34.15" customHeight="1" x14ac:dyDescent="0.25">
      <c r="A93" s="3">
        <v>7</v>
      </c>
      <c r="B93" s="3" t="s">
        <v>146</v>
      </c>
      <c r="C93" s="3"/>
      <c r="D93" s="3" t="s">
        <v>49</v>
      </c>
      <c r="E93" s="3" t="s">
        <v>50</v>
      </c>
      <c r="F93" s="3" t="s">
        <v>153</v>
      </c>
      <c r="G93" s="4">
        <v>-35</v>
      </c>
      <c r="H93" s="3" t="s">
        <v>266</v>
      </c>
      <c r="I93" s="4">
        <v>8</v>
      </c>
      <c r="J93" s="5">
        <v>0.03</v>
      </c>
      <c r="K93" s="4">
        <f>1</f>
        <v>1</v>
      </c>
      <c r="L93" s="4">
        <f t="shared" si="26"/>
        <v>8</v>
      </c>
      <c r="M93" s="4">
        <f t="shared" si="27"/>
        <v>56</v>
      </c>
      <c r="N93" s="4">
        <f t="shared" si="28"/>
        <v>240</v>
      </c>
      <c r="O93" s="4">
        <f t="shared" si="29"/>
        <v>2920</v>
      </c>
      <c r="P93" s="4">
        <f t="shared" si="30"/>
        <v>14600</v>
      </c>
      <c r="Q93" s="4">
        <f t="shared" si="31"/>
        <v>29200</v>
      </c>
      <c r="R93" s="5">
        <f t="shared" si="32"/>
        <v>-3.6148955003811878E-6</v>
      </c>
      <c r="S93" s="5">
        <f t="shared" si="33"/>
        <v>-2.891879811617315E-5</v>
      </c>
      <c r="T93" s="5">
        <f t="shared" si="34"/>
        <v>-2.0241402542486853E-4</v>
      </c>
      <c r="U93" s="5">
        <f t="shared" si="35"/>
        <v>-8.6720025251030286E-4</v>
      </c>
      <c r="V93" s="5">
        <f t="shared" si="36"/>
        <v>-1.0499999999999954E-2</v>
      </c>
      <c r="W93" s="5">
        <f t="shared" si="37"/>
        <v>-5.1409015602315478E-2</v>
      </c>
      <c r="X93" s="5">
        <f t="shared" si="38"/>
        <v>-0.10017514431943175</v>
      </c>
      <c r="Y93" s="3" t="s">
        <v>294</v>
      </c>
      <c r="Z93" s="3" t="s">
        <v>15</v>
      </c>
    </row>
    <row r="94" spans="1:26" ht="34.15" customHeight="1" x14ac:dyDescent="0.25">
      <c r="A94" s="3">
        <v>8</v>
      </c>
      <c r="B94" s="3" t="s">
        <v>146</v>
      </c>
      <c r="C94" s="3"/>
      <c r="D94" s="3" t="s">
        <v>49</v>
      </c>
      <c r="E94" s="3" t="s">
        <v>50</v>
      </c>
      <c r="F94" s="3" t="s">
        <v>154</v>
      </c>
      <c r="G94" s="4">
        <v>-40</v>
      </c>
      <c r="H94" s="3" t="s">
        <v>266</v>
      </c>
      <c r="I94" s="4">
        <v>8</v>
      </c>
      <c r="J94" s="5">
        <v>0.02</v>
      </c>
      <c r="K94" s="4">
        <f>1</f>
        <v>1</v>
      </c>
      <c r="L94" s="4">
        <f t="shared" si="26"/>
        <v>8</v>
      </c>
      <c r="M94" s="4">
        <f t="shared" si="27"/>
        <v>56</v>
      </c>
      <c r="N94" s="4">
        <f t="shared" si="28"/>
        <v>240</v>
      </c>
      <c r="O94" s="4">
        <f t="shared" si="29"/>
        <v>2920</v>
      </c>
      <c r="P94" s="4">
        <f t="shared" si="30"/>
        <v>14600</v>
      </c>
      <c r="Q94" s="4">
        <f t="shared" si="31"/>
        <v>29200</v>
      </c>
      <c r="R94" s="5">
        <f t="shared" si="32"/>
        <v>-2.750739948598202E-6</v>
      </c>
      <c r="S94" s="5">
        <f t="shared" si="33"/>
        <v>-2.2005707726369117E-5</v>
      </c>
      <c r="T94" s="5">
        <f t="shared" si="34"/>
        <v>-1.5402978518297417E-4</v>
      </c>
      <c r="U94" s="5">
        <f t="shared" si="35"/>
        <v>-6.5996062578943526E-4</v>
      </c>
      <c r="V94" s="5">
        <f t="shared" si="36"/>
        <v>-8.0000000000000071E-3</v>
      </c>
      <c r="W94" s="5">
        <f t="shared" si="37"/>
        <v>-3.9365099552768124E-2</v>
      </c>
      <c r="X94" s="5">
        <f t="shared" si="38"/>
        <v>-7.7180588042736975E-2</v>
      </c>
      <c r="Y94" s="3" t="s">
        <v>295</v>
      </c>
      <c r="Z94" s="3" t="s">
        <v>15</v>
      </c>
    </row>
    <row r="95" spans="1:26" ht="34.15" customHeight="1" x14ac:dyDescent="0.25">
      <c r="A95" s="3">
        <v>9</v>
      </c>
      <c r="B95" s="3" t="s">
        <v>146</v>
      </c>
      <c r="C95" s="3"/>
      <c r="D95" s="3" t="s">
        <v>49</v>
      </c>
      <c r="E95" s="3" t="s">
        <v>81</v>
      </c>
      <c r="F95" s="3" t="s">
        <v>155</v>
      </c>
      <c r="G95" s="4">
        <v>3.15</v>
      </c>
      <c r="H95" s="3" t="s">
        <v>266</v>
      </c>
      <c r="I95" s="4">
        <v>2</v>
      </c>
      <c r="J95" s="5">
        <v>0.03</v>
      </c>
      <c r="K95" s="4">
        <f>1</f>
        <v>1</v>
      </c>
      <c r="L95" s="4">
        <f t="shared" si="26"/>
        <v>2</v>
      </c>
      <c r="M95" s="4">
        <f t="shared" si="27"/>
        <v>14</v>
      </c>
      <c r="N95" s="4">
        <f t="shared" si="28"/>
        <v>60</v>
      </c>
      <c r="O95" s="4">
        <f t="shared" si="29"/>
        <v>730</v>
      </c>
      <c r="P95" s="4">
        <f t="shared" si="30"/>
        <v>3650</v>
      </c>
      <c r="Q95" s="4">
        <f t="shared" si="31"/>
        <v>7300</v>
      </c>
      <c r="R95" s="5">
        <f t="shared" si="32"/>
        <v>1.2939101090569949E-6</v>
      </c>
      <c r="S95" s="5">
        <f t="shared" si="33"/>
        <v>2.5878218925523555E-6</v>
      </c>
      <c r="T95" s="5">
        <f t="shared" si="34"/>
        <v>1.8114893881593375E-5</v>
      </c>
      <c r="U95" s="5">
        <f t="shared" si="35"/>
        <v>7.7637569963817654E-5</v>
      </c>
      <c r="V95" s="5">
        <f t="shared" si="36"/>
        <v>9.4499999999997364E-4</v>
      </c>
      <c r="W95" s="5">
        <f t="shared" si="37"/>
        <v>4.7339386930742577E-3</v>
      </c>
      <c r="X95" s="5">
        <f t="shared" si="38"/>
        <v>9.4902875616982296E-3</v>
      </c>
      <c r="Y95" s="3" t="s">
        <v>296</v>
      </c>
      <c r="Z95" s="3" t="s">
        <v>15</v>
      </c>
    </row>
    <row r="96" spans="1:26" ht="34.15" customHeight="1" x14ac:dyDescent="0.25">
      <c r="A96" s="3">
        <v>10</v>
      </c>
      <c r="B96" s="3" t="s">
        <v>146</v>
      </c>
      <c r="C96" s="3"/>
      <c r="D96" s="3" t="s">
        <v>49</v>
      </c>
      <c r="E96" s="3" t="s">
        <v>81</v>
      </c>
      <c r="F96" s="3" t="s">
        <v>156</v>
      </c>
      <c r="G96" s="4">
        <v>-30</v>
      </c>
      <c r="H96" s="3" t="s">
        <v>266</v>
      </c>
      <c r="I96" s="4">
        <v>8</v>
      </c>
      <c r="J96" s="5">
        <v>0.03</v>
      </c>
      <c r="K96" s="4">
        <f>1</f>
        <v>1</v>
      </c>
      <c r="L96" s="4">
        <f t="shared" si="26"/>
        <v>8</v>
      </c>
      <c r="M96" s="4">
        <f t="shared" si="27"/>
        <v>56</v>
      </c>
      <c r="N96" s="4">
        <f t="shared" si="28"/>
        <v>240</v>
      </c>
      <c r="O96" s="4">
        <f t="shared" si="29"/>
        <v>2920</v>
      </c>
      <c r="P96" s="4">
        <f t="shared" si="30"/>
        <v>14600</v>
      </c>
      <c r="Q96" s="4">
        <f t="shared" si="31"/>
        <v>29200</v>
      </c>
      <c r="R96" s="5">
        <f t="shared" si="32"/>
        <v>-3.0961406357610244E-6</v>
      </c>
      <c r="S96" s="5">
        <f t="shared" si="33"/>
        <v>-2.4768856677348516E-5</v>
      </c>
      <c r="T96" s="5">
        <f t="shared" si="34"/>
        <v>-1.7336911385179565E-4</v>
      </c>
      <c r="U96" s="5">
        <f t="shared" si="35"/>
        <v>-7.4279889113071373E-4</v>
      </c>
      <c r="V96" s="5">
        <f t="shared" si="36"/>
        <v>-9.000000000000008E-3</v>
      </c>
      <c r="W96" s="5">
        <f t="shared" si="37"/>
        <v>-4.4197257254048994E-2</v>
      </c>
      <c r="X96" s="5">
        <f t="shared" si="38"/>
        <v>-8.6441116959317443E-2</v>
      </c>
      <c r="Y96" s="3" t="s">
        <v>294</v>
      </c>
      <c r="Z96" s="3" t="s">
        <v>15</v>
      </c>
    </row>
    <row r="97" spans="1:26" ht="34.15" customHeight="1" x14ac:dyDescent="0.25">
      <c r="A97" s="3">
        <v>1</v>
      </c>
      <c r="B97" s="3" t="s">
        <v>157</v>
      </c>
      <c r="C97" s="3"/>
      <c r="D97" s="3" t="s">
        <v>49</v>
      </c>
      <c r="E97" s="3" t="s">
        <v>50</v>
      </c>
      <c r="F97" s="3" t="s">
        <v>158</v>
      </c>
      <c r="G97" s="4">
        <v>6</v>
      </c>
      <c r="H97" s="3" t="s">
        <v>266</v>
      </c>
      <c r="I97" s="4">
        <v>5.0000000000000001E-3</v>
      </c>
      <c r="J97" s="5">
        <v>0.75</v>
      </c>
      <c r="K97" s="4">
        <f>1</f>
        <v>1</v>
      </c>
      <c r="L97" s="4">
        <f t="shared" si="26"/>
        <v>5.0000000000000001E-3</v>
      </c>
      <c r="M97" s="4">
        <f t="shared" si="27"/>
        <v>3.5000000000000003E-2</v>
      </c>
      <c r="N97" s="4">
        <f t="shared" si="28"/>
        <v>0.15</v>
      </c>
      <c r="O97" s="4">
        <f t="shared" si="29"/>
        <v>1.825</v>
      </c>
      <c r="P97" s="4">
        <f t="shared" si="30"/>
        <v>9.125</v>
      </c>
      <c r="Q97" s="4">
        <f t="shared" si="31"/>
        <v>18.25</v>
      </c>
      <c r="R97" s="5">
        <f t="shared" si="32"/>
        <v>2.4412053141872114E-2</v>
      </c>
      <c r="S97" s="5">
        <f t="shared" si="33"/>
        <v>1.2060147839498825E-4</v>
      </c>
      <c r="T97" s="5">
        <f t="shared" si="34"/>
        <v>8.4451584921452216E-4</v>
      </c>
      <c r="U97" s="5">
        <f t="shared" si="35"/>
        <v>3.6243784310707738E-3</v>
      </c>
      <c r="V97" s="5">
        <f t="shared" si="36"/>
        <v>4.4999999999999929E-2</v>
      </c>
      <c r="W97" s="5">
        <f t="shared" si="37"/>
        <v>0.24618193765312446</v>
      </c>
      <c r="X97" s="5">
        <f t="shared" si="38"/>
        <v>0.55296942173289532</v>
      </c>
      <c r="Y97" s="3" t="s">
        <v>297</v>
      </c>
      <c r="Z97" s="3" t="s">
        <v>15</v>
      </c>
    </row>
    <row r="98" spans="1:26" ht="34.15" customHeight="1" x14ac:dyDescent="0.25">
      <c r="A98" s="3">
        <v>2</v>
      </c>
      <c r="B98" s="3" t="s">
        <v>157</v>
      </c>
      <c r="C98" s="3"/>
      <c r="D98" s="3" t="s">
        <v>49</v>
      </c>
      <c r="E98" s="3" t="s">
        <v>50</v>
      </c>
      <c r="F98" s="3" t="s">
        <v>159</v>
      </c>
      <c r="G98" s="4">
        <v>5</v>
      </c>
      <c r="H98" s="3" t="s">
        <v>266</v>
      </c>
      <c r="I98" s="4">
        <v>5.0000000000000001E-3</v>
      </c>
      <c r="J98" s="5">
        <v>0.75</v>
      </c>
      <c r="K98" s="4">
        <f>1</f>
        <v>1</v>
      </c>
      <c r="L98" s="4">
        <f t="shared" ref="L98:L129" si="39">I98</f>
        <v>5.0000000000000001E-3</v>
      </c>
      <c r="M98" s="4">
        <f t="shared" ref="M98:M129" si="40">I98*7</f>
        <v>3.5000000000000003E-2</v>
      </c>
      <c r="N98" s="4">
        <f t="shared" ref="N98:N129" si="41">I98*30</f>
        <v>0.15</v>
      </c>
      <c r="O98" s="4">
        <f t="shared" ref="O98:O129" si="42">I98*365</f>
        <v>1.825</v>
      </c>
      <c r="P98" s="4">
        <f t="shared" ref="P98:P129" si="43">I98*1825</f>
        <v>9.125</v>
      </c>
      <c r="Q98" s="4">
        <f t="shared" ref="Q98:Q129" si="44">I98*3650</f>
        <v>18.25</v>
      </c>
      <c r="R98" s="5">
        <f t="shared" ref="R98:R129" si="45">IF(D98="Linear",K98*J98*(G98/100),IF(I98&gt;0,(1+((G98/100)*J98))^(1/(I98*365))-1,0))</f>
        <v>2.0376870632609956E-2</v>
      </c>
      <c r="S98" s="5">
        <f t="shared" ref="S98:S129" si="46">IF(D98="Linear",L98*J98*(G98/100),(1+((G98/100)*J98))^(1/365)-1)</f>
        <v>1.0086528689723373E-4</v>
      </c>
      <c r="T98" s="5">
        <f t="shared" ref="T98:T129" si="47">IF(D98="Linear",M98*J98*(G98/100),(1+((G98/100)*J98))^(7/365)-1)</f>
        <v>7.0627069412876331E-4</v>
      </c>
      <c r="U98" s="5">
        <f t="shared" ref="U98:U129" si="48">IF(D98="Linear",N98*J98*(G98/100),(1+((G98/100)*J98))^(30/365)-1)</f>
        <v>3.0303883817150989E-3</v>
      </c>
      <c r="V98" s="5">
        <f t="shared" ref="V98:V129" si="49">IF(D98="Linear",O98*J98*(G98/100),(1+((G98/100)*J98))-1)</f>
        <v>3.7500000000000089E-2</v>
      </c>
      <c r="W98" s="5">
        <f t="shared" ref="W98:W129" si="50">IF(D98="Linear",P98*J98*(G98/100),(1+((G98/100)*J98))^5-1)</f>
        <v>0.20209980560302809</v>
      </c>
      <c r="X98" s="5">
        <f t="shared" ref="X98:X129" si="51">IF(D98="Linear",Q98*J98*(G98/100),(1+((G98/100)*J98))^10-1)</f>
        <v>0.44504394263083791</v>
      </c>
      <c r="Y98" s="3" t="s">
        <v>297</v>
      </c>
      <c r="Z98" s="3" t="s">
        <v>15</v>
      </c>
    </row>
    <row r="99" spans="1:26" ht="34.15" customHeight="1" x14ac:dyDescent="0.25">
      <c r="A99" s="3">
        <v>3</v>
      </c>
      <c r="B99" s="3" t="s">
        <v>157</v>
      </c>
      <c r="C99" s="3"/>
      <c r="D99" s="3" t="s">
        <v>49</v>
      </c>
      <c r="E99" s="3" t="s">
        <v>50</v>
      </c>
      <c r="F99" s="3" t="s">
        <v>160</v>
      </c>
      <c r="G99" s="4">
        <v>4</v>
      </c>
      <c r="H99" s="3" t="s">
        <v>266</v>
      </c>
      <c r="I99" s="4">
        <v>5.0000000000000001E-3</v>
      </c>
      <c r="J99" s="5">
        <v>0.75</v>
      </c>
      <c r="K99" s="4">
        <f>1</f>
        <v>1</v>
      </c>
      <c r="L99" s="4">
        <f t="shared" si="39"/>
        <v>5.0000000000000001E-3</v>
      </c>
      <c r="M99" s="4">
        <f t="shared" si="40"/>
        <v>3.5000000000000003E-2</v>
      </c>
      <c r="N99" s="4">
        <f t="shared" si="41"/>
        <v>0.15</v>
      </c>
      <c r="O99" s="4">
        <f t="shared" si="42"/>
        <v>1.825</v>
      </c>
      <c r="P99" s="4">
        <f t="shared" si="43"/>
        <v>9.125</v>
      </c>
      <c r="Q99" s="4">
        <f t="shared" si="44"/>
        <v>18.25</v>
      </c>
      <c r="R99" s="5">
        <f t="shared" si="45"/>
        <v>1.6328479977172572E-2</v>
      </c>
      <c r="S99" s="5">
        <f t="shared" si="46"/>
        <v>8.0986299053176225E-5</v>
      </c>
      <c r="T99" s="5">
        <f t="shared" si="47"/>
        <v>5.670418463576965E-4</v>
      </c>
      <c r="U99" s="5">
        <f t="shared" si="48"/>
        <v>2.4324441989045376E-3</v>
      </c>
      <c r="V99" s="5">
        <f t="shared" si="49"/>
        <v>3.0000000000000027E-2</v>
      </c>
      <c r="W99" s="5">
        <f t="shared" si="50"/>
        <v>0.15927407429999985</v>
      </c>
      <c r="X99" s="5">
        <f t="shared" si="51"/>
        <v>0.34391637934412178</v>
      </c>
      <c r="Y99" s="3" t="s">
        <v>297</v>
      </c>
      <c r="Z99" s="3" t="s">
        <v>15</v>
      </c>
    </row>
    <row r="100" spans="1:26" ht="34.15" customHeight="1" x14ac:dyDescent="0.25">
      <c r="A100" s="3">
        <v>4</v>
      </c>
      <c r="B100" s="3" t="s">
        <v>157</v>
      </c>
      <c r="C100" s="3"/>
      <c r="D100" s="3" t="s">
        <v>49</v>
      </c>
      <c r="E100" s="3" t="s">
        <v>50</v>
      </c>
      <c r="F100" s="3" t="s">
        <v>161</v>
      </c>
      <c r="G100" s="4">
        <v>3.5</v>
      </c>
      <c r="H100" s="3" t="s">
        <v>266</v>
      </c>
      <c r="I100" s="4">
        <v>5.0000000000000001E-3</v>
      </c>
      <c r="J100" s="5">
        <v>0.75</v>
      </c>
      <c r="K100" s="4">
        <f>1</f>
        <v>1</v>
      </c>
      <c r="L100" s="4">
        <f t="shared" si="39"/>
        <v>5.0000000000000001E-3</v>
      </c>
      <c r="M100" s="4">
        <f t="shared" si="40"/>
        <v>3.5000000000000003E-2</v>
      </c>
      <c r="N100" s="4">
        <f t="shared" si="41"/>
        <v>0.15</v>
      </c>
      <c r="O100" s="4">
        <f t="shared" si="42"/>
        <v>1.825</v>
      </c>
      <c r="P100" s="4">
        <f t="shared" si="43"/>
        <v>9.125</v>
      </c>
      <c r="Q100" s="4">
        <f t="shared" si="44"/>
        <v>18.25</v>
      </c>
      <c r="R100" s="5">
        <f t="shared" si="45"/>
        <v>1.4299287978235764E-2</v>
      </c>
      <c r="S100" s="5">
        <f t="shared" si="46"/>
        <v>7.0992606936659541E-5</v>
      </c>
      <c r="T100" s="5">
        <f t="shared" si="47"/>
        <v>4.9705410003575423E-4</v>
      </c>
      <c r="U100" s="5">
        <f t="shared" si="48"/>
        <v>2.1319720398158548E-3</v>
      </c>
      <c r="V100" s="5">
        <f t="shared" si="49"/>
        <v>2.6250000000000107E-2</v>
      </c>
      <c r="W100" s="5">
        <f t="shared" si="50"/>
        <v>0.13832389040558235</v>
      </c>
      <c r="X100" s="5">
        <f t="shared" si="51"/>
        <v>0.29578127946810029</v>
      </c>
      <c r="Y100" s="3" t="s">
        <v>297</v>
      </c>
      <c r="Z100" s="3" t="s">
        <v>15</v>
      </c>
    </row>
    <row r="101" spans="1:26" ht="34.15" customHeight="1" x14ac:dyDescent="0.25">
      <c r="A101" s="3">
        <v>5</v>
      </c>
      <c r="B101" s="3" t="s">
        <v>157</v>
      </c>
      <c r="C101" s="3"/>
      <c r="D101" s="3" t="s">
        <v>49</v>
      </c>
      <c r="E101" s="3" t="s">
        <v>50</v>
      </c>
      <c r="F101" s="3" t="s">
        <v>162</v>
      </c>
      <c r="G101" s="4">
        <v>3</v>
      </c>
      <c r="H101" s="3" t="s">
        <v>266</v>
      </c>
      <c r="I101" s="4">
        <v>5.0000000000000001E-3</v>
      </c>
      <c r="J101" s="5">
        <v>0.75</v>
      </c>
      <c r="K101" s="4">
        <f>1</f>
        <v>1</v>
      </c>
      <c r="L101" s="4">
        <f t="shared" si="39"/>
        <v>5.0000000000000001E-3</v>
      </c>
      <c r="M101" s="4">
        <f t="shared" si="40"/>
        <v>3.5000000000000003E-2</v>
      </c>
      <c r="N101" s="4">
        <f t="shared" si="41"/>
        <v>0.15</v>
      </c>
      <c r="O101" s="4">
        <f t="shared" si="42"/>
        <v>1.825</v>
      </c>
      <c r="P101" s="4">
        <f t="shared" si="43"/>
        <v>9.125</v>
      </c>
      <c r="Q101" s="4">
        <f t="shared" si="44"/>
        <v>18.25</v>
      </c>
      <c r="R101" s="5">
        <f t="shared" si="45"/>
        <v>1.2266741290432259E-2</v>
      </c>
      <c r="S101" s="5">
        <f t="shared" si="46"/>
        <v>6.0962430557642833E-5</v>
      </c>
      <c r="T101" s="5">
        <f t="shared" si="47"/>
        <v>4.2681506661024216E-4</v>
      </c>
      <c r="U101" s="5">
        <f t="shared" si="48"/>
        <v>1.8304904787520559E-3</v>
      </c>
      <c r="V101" s="5">
        <f t="shared" si="49"/>
        <v>2.2499999999999964E-2</v>
      </c>
      <c r="W101" s="5">
        <f t="shared" si="50"/>
        <v>0.11767769346181622</v>
      </c>
      <c r="X101" s="5">
        <f t="shared" si="51"/>
        <v>0.24920342646212523</v>
      </c>
      <c r="Y101" s="3" t="s">
        <v>297</v>
      </c>
      <c r="Z101" s="3" t="s">
        <v>15</v>
      </c>
    </row>
    <row r="102" spans="1:26" ht="34.15" customHeight="1" x14ac:dyDescent="0.25">
      <c r="A102" s="3">
        <v>6</v>
      </c>
      <c r="B102" s="3" t="s">
        <v>157</v>
      </c>
      <c r="C102" s="3"/>
      <c r="D102" s="3" t="s">
        <v>49</v>
      </c>
      <c r="E102" s="3" t="s">
        <v>50</v>
      </c>
      <c r="F102" s="3" t="s">
        <v>163</v>
      </c>
      <c r="G102" s="4">
        <v>1.5</v>
      </c>
      <c r="H102" s="3" t="s">
        <v>266</v>
      </c>
      <c r="I102" s="4">
        <v>5.0000000000000001E-3</v>
      </c>
      <c r="J102" s="5">
        <v>0.75</v>
      </c>
      <c r="K102" s="4">
        <f>1</f>
        <v>1</v>
      </c>
      <c r="L102" s="4">
        <f t="shared" si="39"/>
        <v>5.0000000000000001E-3</v>
      </c>
      <c r="M102" s="4">
        <f t="shared" si="40"/>
        <v>3.5000000000000003E-2</v>
      </c>
      <c r="N102" s="4">
        <f t="shared" si="41"/>
        <v>0.15</v>
      </c>
      <c r="O102" s="4">
        <f t="shared" si="42"/>
        <v>1.825</v>
      </c>
      <c r="P102" s="4">
        <f t="shared" si="43"/>
        <v>9.125</v>
      </c>
      <c r="Q102" s="4">
        <f t="shared" si="44"/>
        <v>18.25</v>
      </c>
      <c r="R102" s="5">
        <f t="shared" si="45"/>
        <v>6.1487934851169879E-3</v>
      </c>
      <c r="S102" s="5">
        <f t="shared" si="46"/>
        <v>3.0650303657786537E-5</v>
      </c>
      <c r="T102" s="5">
        <f t="shared" si="47"/>
        <v>2.1457185487516739E-4</v>
      </c>
      <c r="U102" s="5">
        <f t="shared" si="48"/>
        <v>9.1991788354461868E-4</v>
      </c>
      <c r="V102" s="5">
        <f t="shared" si="49"/>
        <v>1.1249999999999982E-2</v>
      </c>
      <c r="W102" s="5">
        <f t="shared" si="50"/>
        <v>5.752994355178509E-2</v>
      </c>
      <c r="X102" s="5">
        <f t="shared" si="51"/>
        <v>0.11836958150864185</v>
      </c>
      <c r="Y102" s="3" t="s">
        <v>297</v>
      </c>
      <c r="Z102" s="3" t="s">
        <v>15</v>
      </c>
    </row>
    <row r="103" spans="1:26" ht="34.15" customHeight="1" x14ac:dyDescent="0.25">
      <c r="A103" s="3">
        <v>7</v>
      </c>
      <c r="B103" s="3" t="s">
        <v>157</v>
      </c>
      <c r="C103" s="3"/>
      <c r="D103" s="3" t="s">
        <v>49</v>
      </c>
      <c r="E103" s="3" t="s">
        <v>50</v>
      </c>
      <c r="F103" s="3" t="s">
        <v>164</v>
      </c>
      <c r="G103" s="4">
        <v>-5</v>
      </c>
      <c r="H103" s="3" t="s">
        <v>266</v>
      </c>
      <c r="I103" s="4">
        <v>0.03</v>
      </c>
      <c r="J103" s="5">
        <v>0.35</v>
      </c>
      <c r="K103" s="4">
        <f>1</f>
        <v>1</v>
      </c>
      <c r="L103" s="4">
        <f t="shared" si="39"/>
        <v>0.03</v>
      </c>
      <c r="M103" s="4">
        <f t="shared" si="40"/>
        <v>0.21</v>
      </c>
      <c r="N103" s="4">
        <f t="shared" si="41"/>
        <v>0.89999999999999991</v>
      </c>
      <c r="O103" s="4">
        <f t="shared" si="42"/>
        <v>10.95</v>
      </c>
      <c r="P103" s="4">
        <f t="shared" si="43"/>
        <v>54.75</v>
      </c>
      <c r="Q103" s="4">
        <f t="shared" si="44"/>
        <v>109.5</v>
      </c>
      <c r="R103" s="5">
        <f t="shared" si="45"/>
        <v>-1.6110237586405285E-3</v>
      </c>
      <c r="S103" s="5">
        <f t="shared" si="46"/>
        <v>-4.8368515791152866E-5</v>
      </c>
      <c r="T103" s="5">
        <f t="shared" si="47"/>
        <v>-3.3853048471876868E-4</v>
      </c>
      <c r="U103" s="5">
        <f t="shared" si="48"/>
        <v>-1.4500382447152349E-3</v>
      </c>
      <c r="V103" s="5">
        <f t="shared" si="49"/>
        <v>-1.749999999999996E-2</v>
      </c>
      <c r="W103" s="5">
        <f t="shared" si="50"/>
        <v>-8.4490626445996031E-2</v>
      </c>
      <c r="X103" s="5">
        <f t="shared" si="51"/>
        <v>-0.16184258693475517</v>
      </c>
      <c r="Y103" s="3" t="s">
        <v>298</v>
      </c>
      <c r="Z103" s="3" t="s">
        <v>15</v>
      </c>
    </row>
    <row r="104" spans="1:26" ht="34.15" customHeight="1" x14ac:dyDescent="0.25">
      <c r="A104" s="3">
        <v>8</v>
      </c>
      <c r="B104" s="3" t="s">
        <v>157</v>
      </c>
      <c r="C104" s="3"/>
      <c r="D104" s="3" t="s">
        <v>49</v>
      </c>
      <c r="E104" s="3" t="s">
        <v>50</v>
      </c>
      <c r="F104" s="3" t="s">
        <v>165</v>
      </c>
      <c r="G104" s="4">
        <v>-10</v>
      </c>
      <c r="H104" s="3" t="s">
        <v>266</v>
      </c>
      <c r="I104" s="4">
        <v>0.03</v>
      </c>
      <c r="J104" s="5">
        <v>0.35</v>
      </c>
      <c r="K104" s="4">
        <f>1</f>
        <v>1</v>
      </c>
      <c r="L104" s="4">
        <f t="shared" si="39"/>
        <v>0.03</v>
      </c>
      <c r="M104" s="4">
        <f t="shared" si="40"/>
        <v>0.21</v>
      </c>
      <c r="N104" s="4">
        <f t="shared" si="41"/>
        <v>0.89999999999999991</v>
      </c>
      <c r="O104" s="4">
        <f t="shared" si="42"/>
        <v>10.95</v>
      </c>
      <c r="P104" s="4">
        <f t="shared" si="43"/>
        <v>54.75</v>
      </c>
      <c r="Q104" s="4">
        <f t="shared" si="44"/>
        <v>109.5</v>
      </c>
      <c r="R104" s="5">
        <f t="shared" si="45"/>
        <v>-3.2483362318664888E-3</v>
      </c>
      <c r="S104" s="5">
        <f t="shared" si="46"/>
        <v>-9.7603942296853319E-5</v>
      </c>
      <c r="T104" s="5">
        <f t="shared" si="47"/>
        <v>-6.8302757149851789E-4</v>
      </c>
      <c r="U104" s="5">
        <f t="shared" si="48"/>
        <v>-2.9239780011631744E-3</v>
      </c>
      <c r="V104" s="5">
        <f t="shared" si="49"/>
        <v>-3.5000000000000031E-2</v>
      </c>
      <c r="W104" s="5">
        <f t="shared" si="50"/>
        <v>-0.16317129939687514</v>
      </c>
      <c r="X104" s="5">
        <f t="shared" si="51"/>
        <v>-0.29971772584688561</v>
      </c>
      <c r="Y104" s="3" t="s">
        <v>298</v>
      </c>
      <c r="Z104" s="3" t="s">
        <v>15</v>
      </c>
    </row>
    <row r="105" spans="1:26" ht="34.15" customHeight="1" x14ac:dyDescent="0.25">
      <c r="A105" s="3">
        <v>9</v>
      </c>
      <c r="B105" s="3" t="s">
        <v>157</v>
      </c>
      <c r="C105" s="3"/>
      <c r="D105" s="3" t="s">
        <v>49</v>
      </c>
      <c r="E105" s="3" t="s">
        <v>50</v>
      </c>
      <c r="F105" s="3" t="s">
        <v>166</v>
      </c>
      <c r="G105" s="4">
        <v>-15</v>
      </c>
      <c r="H105" s="3" t="s">
        <v>266</v>
      </c>
      <c r="I105" s="4">
        <v>0.03</v>
      </c>
      <c r="J105" s="5">
        <v>0.35</v>
      </c>
      <c r="K105" s="4">
        <f>1</f>
        <v>1</v>
      </c>
      <c r="L105" s="4">
        <f t="shared" si="39"/>
        <v>0.03</v>
      </c>
      <c r="M105" s="4">
        <f t="shared" si="40"/>
        <v>0.21</v>
      </c>
      <c r="N105" s="4">
        <f t="shared" si="41"/>
        <v>0.89999999999999991</v>
      </c>
      <c r="O105" s="4">
        <f t="shared" si="42"/>
        <v>10.95</v>
      </c>
      <c r="P105" s="4">
        <f t="shared" si="43"/>
        <v>54.75</v>
      </c>
      <c r="Q105" s="4">
        <f t="shared" si="44"/>
        <v>109.5</v>
      </c>
      <c r="R105" s="5">
        <f t="shared" si="45"/>
        <v>-4.9128549979391423E-3</v>
      </c>
      <c r="S105" s="5">
        <f t="shared" si="46"/>
        <v>-1.477379679332147E-4</v>
      </c>
      <c r="T105" s="5">
        <f t="shared" si="47"/>
        <v>-1.033707531726491E-3</v>
      </c>
      <c r="U105" s="5">
        <f t="shared" si="48"/>
        <v>-4.4226575862240658E-3</v>
      </c>
      <c r="V105" s="5">
        <f t="shared" si="49"/>
        <v>-5.2499999999999991E-2</v>
      </c>
      <c r="W105" s="5">
        <f t="shared" si="50"/>
        <v>-0.23634694551767566</v>
      </c>
      <c r="X105" s="5">
        <f t="shared" si="51"/>
        <v>-0.41683401237981621</v>
      </c>
      <c r="Y105" s="3" t="s">
        <v>298</v>
      </c>
      <c r="Z105" s="3" t="s">
        <v>15</v>
      </c>
    </row>
    <row r="106" spans="1:26" ht="34.15" customHeight="1" x14ac:dyDescent="0.25">
      <c r="A106" s="3">
        <v>10</v>
      </c>
      <c r="B106" s="3" t="s">
        <v>157</v>
      </c>
      <c r="C106" s="3"/>
      <c r="D106" s="3" t="s">
        <v>49</v>
      </c>
      <c r="E106" s="3" t="s">
        <v>50</v>
      </c>
      <c r="F106" s="3" t="s">
        <v>167</v>
      </c>
      <c r="G106" s="4">
        <v>-50</v>
      </c>
      <c r="H106" s="3" t="s">
        <v>266</v>
      </c>
      <c r="I106" s="4">
        <v>0.08</v>
      </c>
      <c r="J106" s="5">
        <v>0.2</v>
      </c>
      <c r="K106" s="4">
        <f>1</f>
        <v>1</v>
      </c>
      <c r="L106" s="4">
        <f t="shared" si="39"/>
        <v>0.08</v>
      </c>
      <c r="M106" s="4">
        <f t="shared" si="40"/>
        <v>0.56000000000000005</v>
      </c>
      <c r="N106" s="4">
        <f t="shared" si="41"/>
        <v>2.4</v>
      </c>
      <c r="O106" s="4">
        <f t="shared" si="42"/>
        <v>29.2</v>
      </c>
      <c r="P106" s="4">
        <f t="shared" si="43"/>
        <v>146</v>
      </c>
      <c r="Q106" s="4">
        <f t="shared" si="44"/>
        <v>292</v>
      </c>
      <c r="R106" s="5">
        <f t="shared" si="45"/>
        <v>-3.6017349734980275E-3</v>
      </c>
      <c r="S106" s="5">
        <f t="shared" si="46"/>
        <v>-2.8861728902229711E-4</v>
      </c>
      <c r="T106" s="5">
        <f t="shared" si="47"/>
        <v>-2.0185725656465259E-3</v>
      </c>
      <c r="U106" s="5">
        <f t="shared" si="48"/>
        <v>-8.6223806168211903E-3</v>
      </c>
      <c r="V106" s="5">
        <f t="shared" si="49"/>
        <v>-9.9999999999999978E-2</v>
      </c>
      <c r="W106" s="5">
        <f t="shared" si="50"/>
        <v>-0.40950999999999982</v>
      </c>
      <c r="X106" s="5">
        <f t="shared" si="51"/>
        <v>-0.65132155989999985</v>
      </c>
      <c r="Y106" s="3" t="s">
        <v>299</v>
      </c>
      <c r="Z106" s="3" t="s">
        <v>15</v>
      </c>
    </row>
    <row r="107" spans="1:26" ht="34.15" customHeight="1" x14ac:dyDescent="0.25">
      <c r="A107" s="3">
        <v>11</v>
      </c>
      <c r="B107" s="3" t="s">
        <v>157</v>
      </c>
      <c r="C107" s="3"/>
      <c r="D107" s="3" t="s">
        <v>49</v>
      </c>
      <c r="E107" s="3" t="s">
        <v>81</v>
      </c>
      <c r="F107" s="3" t="s">
        <v>168</v>
      </c>
      <c r="G107" s="4">
        <v>4.32</v>
      </c>
      <c r="H107" s="3" t="s">
        <v>266</v>
      </c>
      <c r="I107" s="4">
        <v>5.0000000000000001E-3</v>
      </c>
      <c r="J107" s="5">
        <v>0.75</v>
      </c>
      <c r="K107" s="4">
        <f>1</f>
        <v>1</v>
      </c>
      <c r="L107" s="4">
        <f t="shared" si="39"/>
        <v>5.0000000000000001E-3</v>
      </c>
      <c r="M107" s="4">
        <f t="shared" si="40"/>
        <v>3.5000000000000003E-2</v>
      </c>
      <c r="N107" s="4">
        <f t="shared" si="41"/>
        <v>0.15</v>
      </c>
      <c r="O107" s="4">
        <f t="shared" si="42"/>
        <v>1.825</v>
      </c>
      <c r="P107" s="4">
        <f t="shared" si="43"/>
        <v>9.125</v>
      </c>
      <c r="Q107" s="4">
        <f t="shared" si="44"/>
        <v>18.25</v>
      </c>
      <c r="R107" s="5">
        <f t="shared" si="45"/>
        <v>1.7625410506056038E-2</v>
      </c>
      <c r="S107" s="5">
        <f t="shared" si="46"/>
        <v>8.7363237486037804E-5</v>
      </c>
      <c r="T107" s="5">
        <f t="shared" si="47"/>
        <v>6.1170296478207931E-4</v>
      </c>
      <c r="U107" s="5">
        <f t="shared" si="48"/>
        <v>2.6242198991659471E-3</v>
      </c>
      <c r="V107" s="5">
        <f t="shared" si="49"/>
        <v>3.2399999999999984E-2</v>
      </c>
      <c r="W107" s="5">
        <f t="shared" si="50"/>
        <v>0.17284326792496008</v>
      </c>
      <c r="X107" s="5">
        <f t="shared" si="51"/>
        <v>0.37556133111689949</v>
      </c>
      <c r="Y107" s="3" t="s">
        <v>297</v>
      </c>
      <c r="Z107" s="3" t="s">
        <v>15</v>
      </c>
    </row>
    <row r="108" spans="1:26" ht="34.15" customHeight="1" x14ac:dyDescent="0.25">
      <c r="A108" s="3">
        <v>1</v>
      </c>
      <c r="B108" s="3" t="s">
        <v>169</v>
      </c>
      <c r="C108" s="3"/>
      <c r="D108" s="3" t="s">
        <v>139</v>
      </c>
      <c r="E108" s="3" t="s">
        <v>50</v>
      </c>
      <c r="F108" s="3" t="s">
        <v>170</v>
      </c>
      <c r="G108" s="4">
        <v>-4.55</v>
      </c>
      <c r="H108" s="3" t="s">
        <v>285</v>
      </c>
      <c r="I108" s="4">
        <v>3</v>
      </c>
      <c r="J108" s="5">
        <v>0.02</v>
      </c>
      <c r="K108" s="4">
        <f>1</f>
        <v>1</v>
      </c>
      <c r="L108" s="4">
        <f t="shared" si="39"/>
        <v>3</v>
      </c>
      <c r="M108" s="4">
        <f t="shared" si="40"/>
        <v>21</v>
      </c>
      <c r="N108" s="4">
        <f t="shared" si="41"/>
        <v>90</v>
      </c>
      <c r="O108" s="4">
        <f t="shared" si="42"/>
        <v>1095</v>
      </c>
      <c r="P108" s="4">
        <f t="shared" si="43"/>
        <v>5475</v>
      </c>
      <c r="Q108" s="4">
        <f t="shared" si="44"/>
        <v>10950</v>
      </c>
      <c r="R108" s="5">
        <f t="shared" si="45"/>
        <v>-9.1E-4</v>
      </c>
      <c r="S108" s="5">
        <f t="shared" si="46"/>
        <v>-2.7299999999999998E-3</v>
      </c>
      <c r="T108" s="5">
        <f t="shared" si="47"/>
        <v>-1.9109999999999999E-2</v>
      </c>
      <c r="U108" s="5">
        <f t="shared" si="48"/>
        <v>-8.1900000000000001E-2</v>
      </c>
      <c r="V108" s="5">
        <f t="shared" si="49"/>
        <v>-0.99645000000000006</v>
      </c>
      <c r="W108" s="5">
        <f t="shared" si="50"/>
        <v>-4.9822499999999996</v>
      </c>
      <c r="X108" s="5">
        <f t="shared" si="51"/>
        <v>-9.9644999999999992</v>
      </c>
      <c r="Y108" s="3" t="s">
        <v>300</v>
      </c>
      <c r="Z108" s="3" t="s">
        <v>15</v>
      </c>
    </row>
    <row r="109" spans="1:26" ht="34.15" customHeight="1" x14ac:dyDescent="0.25">
      <c r="A109" s="3">
        <v>2</v>
      </c>
      <c r="B109" s="3" t="s">
        <v>169</v>
      </c>
      <c r="C109" s="3"/>
      <c r="D109" s="3" t="s">
        <v>139</v>
      </c>
      <c r="E109" s="3" t="s">
        <v>50</v>
      </c>
      <c r="F109" s="3" t="s">
        <v>171</v>
      </c>
      <c r="G109" s="4">
        <v>-4.55</v>
      </c>
      <c r="H109" s="3" t="s">
        <v>285</v>
      </c>
      <c r="I109" s="4">
        <v>3</v>
      </c>
      <c r="J109" s="5">
        <v>0.02</v>
      </c>
      <c r="K109" s="4">
        <f>1</f>
        <v>1</v>
      </c>
      <c r="L109" s="4">
        <f t="shared" si="39"/>
        <v>3</v>
      </c>
      <c r="M109" s="4">
        <f t="shared" si="40"/>
        <v>21</v>
      </c>
      <c r="N109" s="4">
        <f t="shared" si="41"/>
        <v>90</v>
      </c>
      <c r="O109" s="4">
        <f t="shared" si="42"/>
        <v>1095</v>
      </c>
      <c r="P109" s="4">
        <f t="shared" si="43"/>
        <v>5475</v>
      </c>
      <c r="Q109" s="4">
        <f t="shared" si="44"/>
        <v>10950</v>
      </c>
      <c r="R109" s="5">
        <f t="shared" si="45"/>
        <v>-9.1E-4</v>
      </c>
      <c r="S109" s="5">
        <f t="shared" si="46"/>
        <v>-2.7299999999999998E-3</v>
      </c>
      <c r="T109" s="5">
        <f t="shared" si="47"/>
        <v>-1.9109999999999999E-2</v>
      </c>
      <c r="U109" s="5">
        <f t="shared" si="48"/>
        <v>-8.1900000000000001E-2</v>
      </c>
      <c r="V109" s="5">
        <f t="shared" si="49"/>
        <v>-0.99645000000000006</v>
      </c>
      <c r="W109" s="5">
        <f t="shared" si="50"/>
        <v>-4.9822499999999996</v>
      </c>
      <c r="X109" s="5">
        <f t="shared" si="51"/>
        <v>-9.9644999999999992</v>
      </c>
      <c r="Y109" s="3" t="s">
        <v>300</v>
      </c>
      <c r="Z109" s="3" t="s">
        <v>15</v>
      </c>
    </row>
    <row r="110" spans="1:26" ht="34.15" customHeight="1" x14ac:dyDescent="0.25">
      <c r="A110" s="3">
        <v>3</v>
      </c>
      <c r="B110" s="3" t="s">
        <v>169</v>
      </c>
      <c r="C110" s="3"/>
      <c r="D110" s="3" t="s">
        <v>139</v>
      </c>
      <c r="E110" s="3" t="s">
        <v>50</v>
      </c>
      <c r="F110" s="3" t="s">
        <v>172</v>
      </c>
      <c r="G110" s="4">
        <v>-4.55</v>
      </c>
      <c r="H110" s="3" t="s">
        <v>285</v>
      </c>
      <c r="I110" s="4">
        <v>3</v>
      </c>
      <c r="J110" s="5">
        <v>0.02</v>
      </c>
      <c r="K110" s="4">
        <f>1</f>
        <v>1</v>
      </c>
      <c r="L110" s="4">
        <f t="shared" si="39"/>
        <v>3</v>
      </c>
      <c r="M110" s="4">
        <f t="shared" si="40"/>
        <v>21</v>
      </c>
      <c r="N110" s="4">
        <f t="shared" si="41"/>
        <v>90</v>
      </c>
      <c r="O110" s="4">
        <f t="shared" si="42"/>
        <v>1095</v>
      </c>
      <c r="P110" s="4">
        <f t="shared" si="43"/>
        <v>5475</v>
      </c>
      <c r="Q110" s="4">
        <f t="shared" si="44"/>
        <v>10950</v>
      </c>
      <c r="R110" s="5">
        <f t="shared" si="45"/>
        <v>-9.1E-4</v>
      </c>
      <c r="S110" s="5">
        <f t="shared" si="46"/>
        <v>-2.7299999999999998E-3</v>
      </c>
      <c r="T110" s="5">
        <f t="shared" si="47"/>
        <v>-1.9109999999999999E-2</v>
      </c>
      <c r="U110" s="5">
        <f t="shared" si="48"/>
        <v>-8.1900000000000001E-2</v>
      </c>
      <c r="V110" s="5">
        <f t="shared" si="49"/>
        <v>-0.99645000000000006</v>
      </c>
      <c r="W110" s="5">
        <f t="shared" si="50"/>
        <v>-4.9822499999999996</v>
      </c>
      <c r="X110" s="5">
        <f t="shared" si="51"/>
        <v>-9.9644999999999992</v>
      </c>
      <c r="Y110" s="3" t="s">
        <v>300</v>
      </c>
      <c r="Z110" s="3" t="s">
        <v>15</v>
      </c>
    </row>
    <row r="111" spans="1:26" ht="34.15" customHeight="1" x14ac:dyDescent="0.25">
      <c r="A111" s="3">
        <v>4</v>
      </c>
      <c r="B111" s="3" t="s">
        <v>169</v>
      </c>
      <c r="C111" s="3"/>
      <c r="D111" s="3" t="s">
        <v>139</v>
      </c>
      <c r="E111" s="3" t="s">
        <v>50</v>
      </c>
      <c r="F111" s="3" t="s">
        <v>173</v>
      </c>
      <c r="G111" s="4">
        <v>-5</v>
      </c>
      <c r="H111" s="3" t="s">
        <v>285</v>
      </c>
      <c r="I111" s="4">
        <v>3</v>
      </c>
      <c r="J111" s="5">
        <v>0.02</v>
      </c>
      <c r="K111" s="4">
        <f>1</f>
        <v>1</v>
      </c>
      <c r="L111" s="4">
        <f t="shared" si="39"/>
        <v>3</v>
      </c>
      <c r="M111" s="4">
        <f t="shared" si="40"/>
        <v>21</v>
      </c>
      <c r="N111" s="4">
        <f t="shared" si="41"/>
        <v>90</v>
      </c>
      <c r="O111" s="4">
        <f t="shared" si="42"/>
        <v>1095</v>
      </c>
      <c r="P111" s="4">
        <f t="shared" si="43"/>
        <v>5475</v>
      </c>
      <c r="Q111" s="4">
        <f t="shared" si="44"/>
        <v>10950</v>
      </c>
      <c r="R111" s="5">
        <f t="shared" si="45"/>
        <v>-1E-3</v>
      </c>
      <c r="S111" s="5">
        <f t="shared" si="46"/>
        <v>-3.0000000000000001E-3</v>
      </c>
      <c r="T111" s="5">
        <f t="shared" si="47"/>
        <v>-2.1000000000000001E-2</v>
      </c>
      <c r="U111" s="5">
        <f t="shared" si="48"/>
        <v>-9.0000000000000011E-2</v>
      </c>
      <c r="V111" s="5">
        <f t="shared" si="49"/>
        <v>-1.0950000000000002</v>
      </c>
      <c r="W111" s="5">
        <f t="shared" si="50"/>
        <v>-5.4750000000000005</v>
      </c>
      <c r="X111" s="5">
        <f t="shared" si="51"/>
        <v>-10.950000000000001</v>
      </c>
      <c r="Y111" s="3" t="s">
        <v>300</v>
      </c>
      <c r="Z111" s="3" t="s">
        <v>15</v>
      </c>
    </row>
    <row r="112" spans="1:26" ht="34.15" customHeight="1" x14ac:dyDescent="0.25">
      <c r="A112" s="3">
        <v>5</v>
      </c>
      <c r="B112" s="3" t="s">
        <v>169</v>
      </c>
      <c r="C112" s="3"/>
      <c r="D112" s="3" t="s">
        <v>139</v>
      </c>
      <c r="E112" s="3" t="s">
        <v>50</v>
      </c>
      <c r="F112" s="3" t="s">
        <v>174</v>
      </c>
      <c r="G112" s="4">
        <v>-6.5</v>
      </c>
      <c r="H112" s="3" t="s">
        <v>285</v>
      </c>
      <c r="I112" s="4">
        <v>4</v>
      </c>
      <c r="J112" s="5">
        <v>0.02</v>
      </c>
      <c r="K112" s="4">
        <f>1</f>
        <v>1</v>
      </c>
      <c r="L112" s="4">
        <f t="shared" si="39"/>
        <v>4</v>
      </c>
      <c r="M112" s="4">
        <f t="shared" si="40"/>
        <v>28</v>
      </c>
      <c r="N112" s="4">
        <f t="shared" si="41"/>
        <v>120</v>
      </c>
      <c r="O112" s="4">
        <f t="shared" si="42"/>
        <v>1460</v>
      </c>
      <c r="P112" s="4">
        <f t="shared" si="43"/>
        <v>7300</v>
      </c>
      <c r="Q112" s="4">
        <f t="shared" si="44"/>
        <v>14600</v>
      </c>
      <c r="R112" s="5">
        <f t="shared" si="45"/>
        <v>-1.3000000000000002E-3</v>
      </c>
      <c r="S112" s="5">
        <f t="shared" si="46"/>
        <v>-5.2000000000000006E-3</v>
      </c>
      <c r="T112" s="5">
        <f t="shared" si="47"/>
        <v>-3.6400000000000002E-2</v>
      </c>
      <c r="U112" s="5">
        <f t="shared" si="48"/>
        <v>-0.156</v>
      </c>
      <c r="V112" s="5">
        <f t="shared" si="49"/>
        <v>-1.8979999999999999</v>
      </c>
      <c r="W112" s="5">
        <f t="shared" si="50"/>
        <v>-9.49</v>
      </c>
      <c r="X112" s="5">
        <f t="shared" si="51"/>
        <v>-18.98</v>
      </c>
      <c r="Y112" s="3" t="s">
        <v>301</v>
      </c>
      <c r="Z112" s="3" t="s">
        <v>15</v>
      </c>
    </row>
    <row r="113" spans="1:26" ht="34.15" customHeight="1" x14ac:dyDescent="0.25">
      <c r="A113" s="3">
        <v>6</v>
      </c>
      <c r="B113" s="3" t="s">
        <v>169</v>
      </c>
      <c r="C113" s="3"/>
      <c r="D113" s="3" t="s">
        <v>139</v>
      </c>
      <c r="E113" s="3" t="s">
        <v>50</v>
      </c>
      <c r="F113" s="3" t="s">
        <v>175</v>
      </c>
      <c r="G113" s="4">
        <v>-7</v>
      </c>
      <c r="H113" s="3" t="s">
        <v>285</v>
      </c>
      <c r="I113" s="4">
        <v>4</v>
      </c>
      <c r="J113" s="5">
        <v>0.02</v>
      </c>
      <c r="K113" s="4">
        <f>1</f>
        <v>1</v>
      </c>
      <c r="L113" s="4">
        <f t="shared" si="39"/>
        <v>4</v>
      </c>
      <c r="M113" s="4">
        <f t="shared" si="40"/>
        <v>28</v>
      </c>
      <c r="N113" s="4">
        <f t="shared" si="41"/>
        <v>120</v>
      </c>
      <c r="O113" s="4">
        <f t="shared" si="42"/>
        <v>1460</v>
      </c>
      <c r="P113" s="4">
        <f t="shared" si="43"/>
        <v>7300</v>
      </c>
      <c r="Q113" s="4">
        <f t="shared" si="44"/>
        <v>14600</v>
      </c>
      <c r="R113" s="5">
        <f t="shared" si="45"/>
        <v>-1.4000000000000002E-3</v>
      </c>
      <c r="S113" s="5">
        <f t="shared" si="46"/>
        <v>-5.6000000000000008E-3</v>
      </c>
      <c r="T113" s="5">
        <f t="shared" si="47"/>
        <v>-3.9200000000000006E-2</v>
      </c>
      <c r="U113" s="5">
        <f t="shared" si="48"/>
        <v>-0.16800000000000001</v>
      </c>
      <c r="V113" s="5">
        <f t="shared" si="49"/>
        <v>-2.044</v>
      </c>
      <c r="W113" s="5">
        <f t="shared" si="50"/>
        <v>-10.220000000000001</v>
      </c>
      <c r="X113" s="5">
        <f t="shared" si="51"/>
        <v>-20.440000000000001</v>
      </c>
      <c r="Y113" s="3" t="s">
        <v>301</v>
      </c>
      <c r="Z113" s="3" t="s">
        <v>15</v>
      </c>
    </row>
    <row r="114" spans="1:26" ht="34.15" customHeight="1" x14ac:dyDescent="0.25">
      <c r="A114" s="3">
        <v>7</v>
      </c>
      <c r="B114" s="3" t="s">
        <v>169</v>
      </c>
      <c r="C114" s="3"/>
      <c r="D114" s="3" t="s">
        <v>139</v>
      </c>
      <c r="E114" s="3" t="s">
        <v>50</v>
      </c>
      <c r="F114" s="3" t="s">
        <v>176</v>
      </c>
      <c r="G114" s="4">
        <v>-8</v>
      </c>
      <c r="H114" s="3" t="s">
        <v>285</v>
      </c>
      <c r="I114" s="4">
        <v>0.03</v>
      </c>
      <c r="J114" s="5">
        <v>0.03</v>
      </c>
      <c r="K114" s="4">
        <f>1</f>
        <v>1</v>
      </c>
      <c r="L114" s="4">
        <f t="shared" si="39"/>
        <v>0.03</v>
      </c>
      <c r="M114" s="4">
        <f t="shared" si="40"/>
        <v>0.21</v>
      </c>
      <c r="N114" s="4">
        <f t="shared" si="41"/>
        <v>0.89999999999999991</v>
      </c>
      <c r="O114" s="4">
        <f t="shared" si="42"/>
        <v>10.95</v>
      </c>
      <c r="P114" s="4">
        <f t="shared" si="43"/>
        <v>54.75</v>
      </c>
      <c r="Q114" s="4">
        <f t="shared" si="44"/>
        <v>109.5</v>
      </c>
      <c r="R114" s="5">
        <f t="shared" si="45"/>
        <v>-2.3999999999999998E-3</v>
      </c>
      <c r="S114" s="5">
        <f t="shared" si="46"/>
        <v>-7.2000000000000002E-5</v>
      </c>
      <c r="T114" s="5">
        <f t="shared" si="47"/>
        <v>-5.0399999999999989E-4</v>
      </c>
      <c r="U114" s="5">
        <f t="shared" si="48"/>
        <v>-2.1599999999999996E-3</v>
      </c>
      <c r="V114" s="5">
        <f t="shared" si="49"/>
        <v>-2.6279999999999998E-2</v>
      </c>
      <c r="W114" s="5">
        <f t="shared" si="50"/>
        <v>-0.13139999999999999</v>
      </c>
      <c r="X114" s="5">
        <f t="shared" si="51"/>
        <v>-0.26279999999999998</v>
      </c>
      <c r="Y114" s="3" t="s">
        <v>302</v>
      </c>
      <c r="Z114" s="3" t="s">
        <v>15</v>
      </c>
    </row>
    <row r="115" spans="1:26" ht="34.15" customHeight="1" x14ac:dyDescent="0.25">
      <c r="A115" s="3">
        <v>8</v>
      </c>
      <c r="B115" s="3" t="s">
        <v>169</v>
      </c>
      <c r="C115" s="3"/>
      <c r="D115" s="3" t="s">
        <v>139</v>
      </c>
      <c r="E115" s="3" t="s">
        <v>50</v>
      </c>
      <c r="F115" s="3" t="s">
        <v>177</v>
      </c>
      <c r="G115" s="4">
        <v>-10</v>
      </c>
      <c r="H115" s="3" t="s">
        <v>285</v>
      </c>
      <c r="I115" s="4">
        <v>1</v>
      </c>
      <c r="J115" s="5">
        <v>1.4999999999999999E-2</v>
      </c>
      <c r="K115" s="4">
        <f>1</f>
        <v>1</v>
      </c>
      <c r="L115" s="4">
        <f t="shared" si="39"/>
        <v>1</v>
      </c>
      <c r="M115" s="4">
        <f t="shared" si="40"/>
        <v>7</v>
      </c>
      <c r="N115" s="4">
        <f t="shared" si="41"/>
        <v>30</v>
      </c>
      <c r="O115" s="4">
        <f t="shared" si="42"/>
        <v>365</v>
      </c>
      <c r="P115" s="4">
        <f t="shared" si="43"/>
        <v>1825</v>
      </c>
      <c r="Q115" s="4">
        <f t="shared" si="44"/>
        <v>3650</v>
      </c>
      <c r="R115" s="5">
        <f t="shared" si="45"/>
        <v>-1.5E-3</v>
      </c>
      <c r="S115" s="5">
        <f t="shared" si="46"/>
        <v>-1.5E-3</v>
      </c>
      <c r="T115" s="5">
        <f t="shared" si="47"/>
        <v>-1.0500000000000001E-2</v>
      </c>
      <c r="U115" s="5">
        <f t="shared" si="48"/>
        <v>-4.4999999999999998E-2</v>
      </c>
      <c r="V115" s="5">
        <f t="shared" si="49"/>
        <v>-0.54749999999999999</v>
      </c>
      <c r="W115" s="5">
        <f t="shared" si="50"/>
        <v>-2.7375000000000003</v>
      </c>
      <c r="X115" s="5">
        <f t="shared" si="51"/>
        <v>-5.4750000000000005</v>
      </c>
      <c r="Y115" s="3" t="s">
        <v>303</v>
      </c>
      <c r="Z115" s="3" t="s">
        <v>15</v>
      </c>
    </row>
    <row r="116" spans="1:26" ht="34.15" customHeight="1" x14ac:dyDescent="0.25">
      <c r="A116" s="3">
        <v>9</v>
      </c>
      <c r="B116" s="3" t="s">
        <v>169</v>
      </c>
      <c r="C116" s="3"/>
      <c r="D116" s="3" t="s">
        <v>139</v>
      </c>
      <c r="E116" s="3" t="s">
        <v>50</v>
      </c>
      <c r="F116" s="3" t="s">
        <v>178</v>
      </c>
      <c r="G116" s="4">
        <v>-12</v>
      </c>
      <c r="H116" s="3" t="s">
        <v>285</v>
      </c>
      <c r="I116" s="4">
        <v>0.03</v>
      </c>
      <c r="J116" s="5">
        <v>0.03</v>
      </c>
      <c r="K116" s="4">
        <f>1</f>
        <v>1</v>
      </c>
      <c r="L116" s="4">
        <f t="shared" si="39"/>
        <v>0.03</v>
      </c>
      <c r="M116" s="4">
        <f t="shared" si="40"/>
        <v>0.21</v>
      </c>
      <c r="N116" s="4">
        <f t="shared" si="41"/>
        <v>0.89999999999999991</v>
      </c>
      <c r="O116" s="4">
        <f t="shared" si="42"/>
        <v>10.95</v>
      </c>
      <c r="P116" s="4">
        <f t="shared" si="43"/>
        <v>54.75</v>
      </c>
      <c r="Q116" s="4">
        <f t="shared" si="44"/>
        <v>109.5</v>
      </c>
      <c r="R116" s="5">
        <f t="shared" si="45"/>
        <v>-3.5999999999999999E-3</v>
      </c>
      <c r="S116" s="5">
        <f t="shared" si="46"/>
        <v>-1.08E-4</v>
      </c>
      <c r="T116" s="5">
        <f t="shared" si="47"/>
        <v>-7.5599999999999984E-4</v>
      </c>
      <c r="U116" s="5">
        <f t="shared" si="48"/>
        <v>-3.2399999999999994E-3</v>
      </c>
      <c r="V116" s="5">
        <f t="shared" si="49"/>
        <v>-3.9419999999999997E-2</v>
      </c>
      <c r="W116" s="5">
        <f t="shared" si="50"/>
        <v>-0.19709999999999997</v>
      </c>
      <c r="X116" s="5">
        <f t="shared" si="51"/>
        <v>-0.39419999999999994</v>
      </c>
      <c r="Y116" s="3" t="s">
        <v>302</v>
      </c>
      <c r="Z116" s="3" t="s">
        <v>15</v>
      </c>
    </row>
    <row r="117" spans="1:26" ht="34.15" customHeight="1" x14ac:dyDescent="0.25">
      <c r="A117" s="3">
        <v>10</v>
      </c>
      <c r="B117" s="3" t="s">
        <v>169</v>
      </c>
      <c r="C117" s="3"/>
      <c r="D117" s="3" t="s">
        <v>139</v>
      </c>
      <c r="E117" s="3" t="s">
        <v>50</v>
      </c>
      <c r="F117" s="3" t="s">
        <v>179</v>
      </c>
      <c r="G117" s="4">
        <v>-12.5</v>
      </c>
      <c r="H117" s="3" t="s">
        <v>285</v>
      </c>
      <c r="I117" s="4">
        <v>1</v>
      </c>
      <c r="J117" s="5">
        <v>1.4999999999999999E-2</v>
      </c>
      <c r="K117" s="4">
        <f>1</f>
        <v>1</v>
      </c>
      <c r="L117" s="4">
        <f t="shared" si="39"/>
        <v>1</v>
      </c>
      <c r="M117" s="4">
        <f t="shared" si="40"/>
        <v>7</v>
      </c>
      <c r="N117" s="4">
        <f t="shared" si="41"/>
        <v>30</v>
      </c>
      <c r="O117" s="4">
        <f t="shared" si="42"/>
        <v>365</v>
      </c>
      <c r="P117" s="4">
        <f t="shared" si="43"/>
        <v>1825</v>
      </c>
      <c r="Q117" s="4">
        <f t="shared" si="44"/>
        <v>3650</v>
      </c>
      <c r="R117" s="5">
        <f t="shared" si="45"/>
        <v>-1.8749999999999999E-3</v>
      </c>
      <c r="S117" s="5">
        <f t="shared" si="46"/>
        <v>-1.8749999999999999E-3</v>
      </c>
      <c r="T117" s="5">
        <f t="shared" si="47"/>
        <v>-1.3125E-2</v>
      </c>
      <c r="U117" s="5">
        <f t="shared" si="48"/>
        <v>-5.6249999999999994E-2</v>
      </c>
      <c r="V117" s="5">
        <f t="shared" si="49"/>
        <v>-0.68437499999999996</v>
      </c>
      <c r="W117" s="5">
        <f t="shared" si="50"/>
        <v>-3.421875</v>
      </c>
      <c r="X117" s="5">
        <f t="shared" si="51"/>
        <v>-6.84375</v>
      </c>
      <c r="Y117" s="3" t="s">
        <v>303</v>
      </c>
      <c r="Z117" s="3" t="s">
        <v>15</v>
      </c>
    </row>
    <row r="118" spans="1:26" ht="34.15" customHeight="1" x14ac:dyDescent="0.25">
      <c r="A118" s="3">
        <v>11</v>
      </c>
      <c r="B118" s="3" t="s">
        <v>169</v>
      </c>
      <c r="C118" s="3"/>
      <c r="D118" s="3" t="s">
        <v>139</v>
      </c>
      <c r="E118" s="3" t="s">
        <v>50</v>
      </c>
      <c r="F118" s="3" t="s">
        <v>180</v>
      </c>
      <c r="G118" s="4">
        <v>-15</v>
      </c>
      <c r="H118" s="3" t="s">
        <v>285</v>
      </c>
      <c r="I118" s="4">
        <v>1</v>
      </c>
      <c r="J118" s="5">
        <v>1.4999999999999999E-2</v>
      </c>
      <c r="K118" s="4">
        <f>1</f>
        <v>1</v>
      </c>
      <c r="L118" s="4">
        <f t="shared" si="39"/>
        <v>1</v>
      </c>
      <c r="M118" s="4">
        <f t="shared" si="40"/>
        <v>7</v>
      </c>
      <c r="N118" s="4">
        <f t="shared" si="41"/>
        <v>30</v>
      </c>
      <c r="O118" s="4">
        <f t="shared" si="42"/>
        <v>365</v>
      </c>
      <c r="P118" s="4">
        <f t="shared" si="43"/>
        <v>1825</v>
      </c>
      <c r="Q118" s="4">
        <f t="shared" si="44"/>
        <v>3650</v>
      </c>
      <c r="R118" s="5">
        <f t="shared" si="45"/>
        <v>-2.2499999999999998E-3</v>
      </c>
      <c r="S118" s="5">
        <f t="shared" si="46"/>
        <v>-2.2499999999999998E-3</v>
      </c>
      <c r="T118" s="5">
        <f t="shared" si="47"/>
        <v>-1.575E-2</v>
      </c>
      <c r="U118" s="5">
        <f t="shared" si="48"/>
        <v>-6.7499999999999991E-2</v>
      </c>
      <c r="V118" s="5">
        <f t="shared" si="49"/>
        <v>-0.82124999999999992</v>
      </c>
      <c r="W118" s="5">
        <f t="shared" si="50"/>
        <v>-4.1062500000000002</v>
      </c>
      <c r="X118" s="5">
        <f t="shared" si="51"/>
        <v>-8.2125000000000004</v>
      </c>
      <c r="Y118" s="3" t="s">
        <v>303</v>
      </c>
      <c r="Z118" s="3" t="s">
        <v>15</v>
      </c>
    </row>
    <row r="119" spans="1:26" ht="34.15" customHeight="1" x14ac:dyDescent="0.25">
      <c r="A119" s="3">
        <v>12</v>
      </c>
      <c r="B119" s="3" t="s">
        <v>169</v>
      </c>
      <c r="C119" s="3"/>
      <c r="D119" s="3" t="s">
        <v>139</v>
      </c>
      <c r="E119" s="3" t="s">
        <v>50</v>
      </c>
      <c r="F119" s="3" t="s">
        <v>181</v>
      </c>
      <c r="G119" s="4">
        <v>-15</v>
      </c>
      <c r="H119" s="3" t="s">
        <v>285</v>
      </c>
      <c r="I119" s="4">
        <v>1</v>
      </c>
      <c r="J119" s="5">
        <v>1.4999999999999999E-2</v>
      </c>
      <c r="K119" s="4">
        <f>1</f>
        <v>1</v>
      </c>
      <c r="L119" s="4">
        <f t="shared" si="39"/>
        <v>1</v>
      </c>
      <c r="M119" s="4">
        <f t="shared" si="40"/>
        <v>7</v>
      </c>
      <c r="N119" s="4">
        <f t="shared" si="41"/>
        <v>30</v>
      </c>
      <c r="O119" s="4">
        <f t="shared" si="42"/>
        <v>365</v>
      </c>
      <c r="P119" s="4">
        <f t="shared" si="43"/>
        <v>1825</v>
      </c>
      <c r="Q119" s="4">
        <f t="shared" si="44"/>
        <v>3650</v>
      </c>
      <c r="R119" s="5">
        <f t="shared" si="45"/>
        <v>-2.2499999999999998E-3</v>
      </c>
      <c r="S119" s="5">
        <f t="shared" si="46"/>
        <v>-2.2499999999999998E-3</v>
      </c>
      <c r="T119" s="5">
        <f t="shared" si="47"/>
        <v>-1.575E-2</v>
      </c>
      <c r="U119" s="5">
        <f t="shared" si="48"/>
        <v>-6.7499999999999991E-2</v>
      </c>
      <c r="V119" s="5">
        <f t="shared" si="49"/>
        <v>-0.82124999999999992</v>
      </c>
      <c r="W119" s="5">
        <f t="shared" si="50"/>
        <v>-4.1062500000000002</v>
      </c>
      <c r="X119" s="5">
        <f t="shared" si="51"/>
        <v>-8.2125000000000004</v>
      </c>
      <c r="Y119" s="3" t="s">
        <v>303</v>
      </c>
      <c r="Z119" s="3" t="s">
        <v>15</v>
      </c>
    </row>
    <row r="120" spans="1:26" ht="34.15" customHeight="1" x14ac:dyDescent="0.25">
      <c r="A120" s="3">
        <v>13</v>
      </c>
      <c r="B120" s="3" t="s">
        <v>169</v>
      </c>
      <c r="C120" s="3"/>
      <c r="D120" s="3" t="s">
        <v>139</v>
      </c>
      <c r="E120" s="3" t="s">
        <v>50</v>
      </c>
      <c r="F120" s="3" t="s">
        <v>182</v>
      </c>
      <c r="G120" s="4">
        <v>-18</v>
      </c>
      <c r="H120" s="3" t="s">
        <v>285</v>
      </c>
      <c r="I120" s="4">
        <v>0.3</v>
      </c>
      <c r="J120" s="5">
        <v>0.01</v>
      </c>
      <c r="K120" s="4">
        <f>1</f>
        <v>1</v>
      </c>
      <c r="L120" s="4">
        <f t="shared" si="39"/>
        <v>0.3</v>
      </c>
      <c r="M120" s="4">
        <f t="shared" si="40"/>
        <v>2.1</v>
      </c>
      <c r="N120" s="4">
        <f t="shared" si="41"/>
        <v>9</v>
      </c>
      <c r="O120" s="4">
        <f t="shared" si="42"/>
        <v>109.5</v>
      </c>
      <c r="P120" s="4">
        <f t="shared" si="43"/>
        <v>547.5</v>
      </c>
      <c r="Q120" s="4">
        <f t="shared" si="44"/>
        <v>1095</v>
      </c>
      <c r="R120" s="5">
        <f t="shared" si="45"/>
        <v>-1.8E-3</v>
      </c>
      <c r="S120" s="5">
        <f t="shared" si="46"/>
        <v>-5.4000000000000001E-4</v>
      </c>
      <c r="T120" s="5">
        <f t="shared" si="47"/>
        <v>-3.7799999999999999E-3</v>
      </c>
      <c r="U120" s="5">
        <f t="shared" si="48"/>
        <v>-1.6199999999999999E-2</v>
      </c>
      <c r="V120" s="5">
        <f t="shared" si="49"/>
        <v>-0.1971</v>
      </c>
      <c r="W120" s="5">
        <f t="shared" si="50"/>
        <v>-0.98550000000000004</v>
      </c>
      <c r="X120" s="5">
        <f t="shared" si="51"/>
        <v>-1.9710000000000001</v>
      </c>
      <c r="Y120" s="3" t="s">
        <v>304</v>
      </c>
      <c r="Z120" s="3" t="s">
        <v>15</v>
      </c>
    </row>
    <row r="121" spans="1:26" ht="34.15" customHeight="1" x14ac:dyDescent="0.25">
      <c r="A121" s="3">
        <v>14</v>
      </c>
      <c r="B121" s="3" t="s">
        <v>169</v>
      </c>
      <c r="C121" s="3"/>
      <c r="D121" s="3" t="s">
        <v>139</v>
      </c>
      <c r="E121" s="3" t="s">
        <v>50</v>
      </c>
      <c r="F121" s="3" t="s">
        <v>183</v>
      </c>
      <c r="G121" s="4">
        <v>-20</v>
      </c>
      <c r="H121" s="3" t="s">
        <v>285</v>
      </c>
      <c r="I121" s="4">
        <v>1</v>
      </c>
      <c r="J121" s="5">
        <v>1.4999999999999999E-2</v>
      </c>
      <c r="K121" s="4">
        <f>1</f>
        <v>1</v>
      </c>
      <c r="L121" s="4">
        <f t="shared" si="39"/>
        <v>1</v>
      </c>
      <c r="M121" s="4">
        <f t="shared" si="40"/>
        <v>7</v>
      </c>
      <c r="N121" s="4">
        <f t="shared" si="41"/>
        <v>30</v>
      </c>
      <c r="O121" s="4">
        <f t="shared" si="42"/>
        <v>365</v>
      </c>
      <c r="P121" s="4">
        <f t="shared" si="43"/>
        <v>1825</v>
      </c>
      <c r="Q121" s="4">
        <f t="shared" si="44"/>
        <v>3650</v>
      </c>
      <c r="R121" s="5">
        <f t="shared" si="45"/>
        <v>-3.0000000000000001E-3</v>
      </c>
      <c r="S121" s="5">
        <f t="shared" si="46"/>
        <v>-3.0000000000000001E-3</v>
      </c>
      <c r="T121" s="5">
        <f t="shared" si="47"/>
        <v>-2.1000000000000001E-2</v>
      </c>
      <c r="U121" s="5">
        <f t="shared" si="48"/>
        <v>-0.09</v>
      </c>
      <c r="V121" s="5">
        <f t="shared" si="49"/>
        <v>-1.095</v>
      </c>
      <c r="W121" s="5">
        <f t="shared" si="50"/>
        <v>-5.4750000000000005</v>
      </c>
      <c r="X121" s="5">
        <f t="shared" si="51"/>
        <v>-10.950000000000001</v>
      </c>
      <c r="Y121" s="3" t="s">
        <v>303</v>
      </c>
      <c r="Z121" s="3" t="s">
        <v>15</v>
      </c>
    </row>
    <row r="122" spans="1:26" ht="34.15" customHeight="1" x14ac:dyDescent="0.25">
      <c r="A122" s="3">
        <v>15</v>
      </c>
      <c r="B122" s="3" t="s">
        <v>169</v>
      </c>
      <c r="C122" s="3"/>
      <c r="D122" s="3" t="s">
        <v>139</v>
      </c>
      <c r="E122" s="3" t="s">
        <v>50</v>
      </c>
      <c r="F122" s="3" t="s">
        <v>184</v>
      </c>
      <c r="G122" s="4">
        <v>-20</v>
      </c>
      <c r="H122" s="3" t="s">
        <v>285</v>
      </c>
      <c r="I122" s="4">
        <v>0.3</v>
      </c>
      <c r="J122" s="5">
        <v>0.01</v>
      </c>
      <c r="K122" s="4">
        <f>1</f>
        <v>1</v>
      </c>
      <c r="L122" s="4">
        <f t="shared" si="39"/>
        <v>0.3</v>
      </c>
      <c r="M122" s="4">
        <f t="shared" si="40"/>
        <v>2.1</v>
      </c>
      <c r="N122" s="4">
        <f t="shared" si="41"/>
        <v>9</v>
      </c>
      <c r="O122" s="4">
        <f t="shared" si="42"/>
        <v>109.5</v>
      </c>
      <c r="P122" s="4">
        <f t="shared" si="43"/>
        <v>547.5</v>
      </c>
      <c r="Q122" s="4">
        <f t="shared" si="44"/>
        <v>1095</v>
      </c>
      <c r="R122" s="5">
        <f t="shared" si="45"/>
        <v>-2E-3</v>
      </c>
      <c r="S122" s="5">
        <f t="shared" si="46"/>
        <v>-6.0000000000000006E-4</v>
      </c>
      <c r="T122" s="5">
        <f t="shared" si="47"/>
        <v>-4.2000000000000006E-3</v>
      </c>
      <c r="U122" s="5">
        <f t="shared" si="48"/>
        <v>-1.7999999999999999E-2</v>
      </c>
      <c r="V122" s="5">
        <f t="shared" si="49"/>
        <v>-0.219</v>
      </c>
      <c r="W122" s="5">
        <f t="shared" si="50"/>
        <v>-1.0950000000000002</v>
      </c>
      <c r="X122" s="5">
        <f t="shared" si="51"/>
        <v>-2.1900000000000004</v>
      </c>
      <c r="Y122" s="3" t="s">
        <v>304</v>
      </c>
      <c r="Z122" s="3" t="s">
        <v>15</v>
      </c>
    </row>
    <row r="123" spans="1:26" ht="34.15" customHeight="1" x14ac:dyDescent="0.25">
      <c r="A123" s="3">
        <v>16</v>
      </c>
      <c r="B123" s="3" t="s">
        <v>169</v>
      </c>
      <c r="C123" s="3"/>
      <c r="D123" s="3" t="s">
        <v>139</v>
      </c>
      <c r="E123" s="3" t="s">
        <v>50</v>
      </c>
      <c r="F123" s="3" t="s">
        <v>185</v>
      </c>
      <c r="G123" s="4">
        <v>-25</v>
      </c>
      <c r="H123" s="3" t="s">
        <v>285</v>
      </c>
      <c r="I123" s="4">
        <v>1</v>
      </c>
      <c r="J123" s="5">
        <v>1.4999999999999999E-2</v>
      </c>
      <c r="K123" s="4">
        <f>1</f>
        <v>1</v>
      </c>
      <c r="L123" s="4">
        <f t="shared" si="39"/>
        <v>1</v>
      </c>
      <c r="M123" s="4">
        <f t="shared" si="40"/>
        <v>7</v>
      </c>
      <c r="N123" s="4">
        <f t="shared" si="41"/>
        <v>30</v>
      </c>
      <c r="O123" s="4">
        <f t="shared" si="42"/>
        <v>365</v>
      </c>
      <c r="P123" s="4">
        <f t="shared" si="43"/>
        <v>1825</v>
      </c>
      <c r="Q123" s="4">
        <f t="shared" si="44"/>
        <v>3650</v>
      </c>
      <c r="R123" s="5">
        <f t="shared" si="45"/>
        <v>-3.7499999999999999E-3</v>
      </c>
      <c r="S123" s="5">
        <f t="shared" si="46"/>
        <v>-3.7499999999999999E-3</v>
      </c>
      <c r="T123" s="5">
        <f t="shared" si="47"/>
        <v>-2.6249999999999999E-2</v>
      </c>
      <c r="U123" s="5">
        <f t="shared" si="48"/>
        <v>-0.11249999999999999</v>
      </c>
      <c r="V123" s="5">
        <f t="shared" si="49"/>
        <v>-1.3687499999999999</v>
      </c>
      <c r="W123" s="5">
        <f t="shared" si="50"/>
        <v>-6.84375</v>
      </c>
      <c r="X123" s="5">
        <f t="shared" si="51"/>
        <v>-13.6875</v>
      </c>
      <c r="Y123" s="3" t="s">
        <v>303</v>
      </c>
      <c r="Z123" s="3" t="s">
        <v>15</v>
      </c>
    </row>
    <row r="124" spans="1:26" ht="34.15" customHeight="1" x14ac:dyDescent="0.25">
      <c r="A124" s="3">
        <v>17</v>
      </c>
      <c r="B124" s="3" t="s">
        <v>169</v>
      </c>
      <c r="C124" s="3"/>
      <c r="D124" s="3" t="s">
        <v>139</v>
      </c>
      <c r="E124" s="3" t="s">
        <v>50</v>
      </c>
      <c r="F124" s="3" t="s">
        <v>186</v>
      </c>
      <c r="G124" s="4">
        <v>-30</v>
      </c>
      <c r="H124" s="3" t="s">
        <v>285</v>
      </c>
      <c r="I124" s="4">
        <v>1</v>
      </c>
      <c r="J124" s="5">
        <v>1.4999999999999999E-2</v>
      </c>
      <c r="K124" s="4">
        <f>1</f>
        <v>1</v>
      </c>
      <c r="L124" s="4">
        <f t="shared" si="39"/>
        <v>1</v>
      </c>
      <c r="M124" s="4">
        <f t="shared" si="40"/>
        <v>7</v>
      </c>
      <c r="N124" s="4">
        <f t="shared" si="41"/>
        <v>30</v>
      </c>
      <c r="O124" s="4">
        <f t="shared" si="42"/>
        <v>365</v>
      </c>
      <c r="P124" s="4">
        <f t="shared" si="43"/>
        <v>1825</v>
      </c>
      <c r="Q124" s="4">
        <f t="shared" si="44"/>
        <v>3650</v>
      </c>
      <c r="R124" s="5">
        <f t="shared" si="45"/>
        <v>-4.4999999999999997E-3</v>
      </c>
      <c r="S124" s="5">
        <f t="shared" si="46"/>
        <v>-4.4999999999999997E-3</v>
      </c>
      <c r="T124" s="5">
        <f t="shared" si="47"/>
        <v>-3.15E-2</v>
      </c>
      <c r="U124" s="5">
        <f t="shared" si="48"/>
        <v>-0.13499999999999998</v>
      </c>
      <c r="V124" s="5">
        <f t="shared" si="49"/>
        <v>-1.6424999999999998</v>
      </c>
      <c r="W124" s="5">
        <f t="shared" si="50"/>
        <v>-8.2125000000000004</v>
      </c>
      <c r="X124" s="5">
        <f t="shared" si="51"/>
        <v>-16.425000000000001</v>
      </c>
      <c r="Y124" s="3" t="s">
        <v>303</v>
      </c>
      <c r="Z124" s="3" t="s">
        <v>15</v>
      </c>
    </row>
    <row r="125" spans="1:26" ht="34.15" customHeight="1" x14ac:dyDescent="0.25">
      <c r="A125" s="3">
        <v>18</v>
      </c>
      <c r="B125" s="3" t="s">
        <v>169</v>
      </c>
      <c r="C125" s="3"/>
      <c r="D125" s="3" t="s">
        <v>139</v>
      </c>
      <c r="E125" s="3" t="s">
        <v>50</v>
      </c>
      <c r="F125" s="3" t="s">
        <v>187</v>
      </c>
      <c r="G125" s="4">
        <v>-35</v>
      </c>
      <c r="H125" s="3" t="s">
        <v>285</v>
      </c>
      <c r="I125" s="4">
        <v>1</v>
      </c>
      <c r="J125" s="5">
        <v>1.4999999999999999E-2</v>
      </c>
      <c r="K125" s="4">
        <f>1</f>
        <v>1</v>
      </c>
      <c r="L125" s="4">
        <f t="shared" si="39"/>
        <v>1</v>
      </c>
      <c r="M125" s="4">
        <f t="shared" si="40"/>
        <v>7</v>
      </c>
      <c r="N125" s="4">
        <f t="shared" si="41"/>
        <v>30</v>
      </c>
      <c r="O125" s="4">
        <f t="shared" si="42"/>
        <v>365</v>
      </c>
      <c r="P125" s="4">
        <f t="shared" si="43"/>
        <v>1825</v>
      </c>
      <c r="Q125" s="4">
        <f t="shared" si="44"/>
        <v>3650</v>
      </c>
      <c r="R125" s="5">
        <f t="shared" si="45"/>
        <v>-5.2499999999999995E-3</v>
      </c>
      <c r="S125" s="5">
        <f t="shared" si="46"/>
        <v>-5.2499999999999995E-3</v>
      </c>
      <c r="T125" s="5">
        <f t="shared" si="47"/>
        <v>-3.6749999999999998E-2</v>
      </c>
      <c r="U125" s="5">
        <f t="shared" si="48"/>
        <v>-0.15749999999999997</v>
      </c>
      <c r="V125" s="5">
        <f t="shared" si="49"/>
        <v>-1.9162499999999998</v>
      </c>
      <c r="W125" s="5">
        <f t="shared" si="50"/>
        <v>-9.5812499999999989</v>
      </c>
      <c r="X125" s="5">
        <f t="shared" si="51"/>
        <v>-19.162499999999998</v>
      </c>
      <c r="Y125" s="3" t="s">
        <v>303</v>
      </c>
      <c r="Z125" s="3" t="s">
        <v>15</v>
      </c>
    </row>
    <row r="126" spans="1:26" ht="34.15" customHeight="1" x14ac:dyDescent="0.25">
      <c r="A126" s="3">
        <v>1</v>
      </c>
      <c r="B126" s="3" t="s">
        <v>188</v>
      </c>
      <c r="C126" s="3"/>
      <c r="D126" s="3" t="s">
        <v>139</v>
      </c>
      <c r="E126" s="3" t="s">
        <v>50</v>
      </c>
      <c r="F126" s="3" t="s">
        <v>189</v>
      </c>
      <c r="G126" s="4">
        <v>1</v>
      </c>
      <c r="H126" s="3" t="s">
        <v>285</v>
      </c>
      <c r="I126" s="4">
        <v>100</v>
      </c>
      <c r="J126" s="5">
        <v>5.0000000000000001E-3</v>
      </c>
      <c r="K126" s="4">
        <f>1</f>
        <v>1</v>
      </c>
      <c r="L126" s="4">
        <f t="shared" si="39"/>
        <v>100</v>
      </c>
      <c r="M126" s="4">
        <f t="shared" si="40"/>
        <v>700</v>
      </c>
      <c r="N126" s="4">
        <f t="shared" si="41"/>
        <v>3000</v>
      </c>
      <c r="O126" s="4">
        <f t="shared" si="42"/>
        <v>36500</v>
      </c>
      <c r="P126" s="4">
        <f t="shared" si="43"/>
        <v>182500</v>
      </c>
      <c r="Q126" s="4">
        <f t="shared" si="44"/>
        <v>365000</v>
      </c>
      <c r="R126" s="5">
        <f t="shared" si="45"/>
        <v>5.0000000000000002E-5</v>
      </c>
      <c r="S126" s="5">
        <f t="shared" si="46"/>
        <v>5.0000000000000001E-3</v>
      </c>
      <c r="T126" s="5">
        <f t="shared" si="47"/>
        <v>3.5000000000000003E-2</v>
      </c>
      <c r="U126" s="5">
        <f t="shared" si="48"/>
        <v>0.15</v>
      </c>
      <c r="V126" s="5">
        <f t="shared" si="49"/>
        <v>1.825</v>
      </c>
      <c r="W126" s="5">
        <f t="shared" si="50"/>
        <v>9.125</v>
      </c>
      <c r="X126" s="5">
        <f t="shared" si="51"/>
        <v>18.25</v>
      </c>
      <c r="Y126" s="3" t="s">
        <v>305</v>
      </c>
      <c r="Z126" s="3" t="s">
        <v>15</v>
      </c>
    </row>
    <row r="127" spans="1:26" ht="34.15" customHeight="1" x14ac:dyDescent="0.25">
      <c r="A127" s="3">
        <v>2</v>
      </c>
      <c r="B127" s="3" t="s">
        <v>188</v>
      </c>
      <c r="C127" s="3"/>
      <c r="D127" s="3" t="s">
        <v>139</v>
      </c>
      <c r="E127" s="3" t="s">
        <v>50</v>
      </c>
      <c r="F127" s="3" t="s">
        <v>190</v>
      </c>
      <c r="G127" s="4">
        <v>-0.46</v>
      </c>
      <c r="H127" s="3" t="s">
        <v>285</v>
      </c>
      <c r="I127" s="4">
        <v>300</v>
      </c>
      <c r="J127" s="5">
        <v>2E-3</v>
      </c>
      <c r="K127" s="4">
        <f>1</f>
        <v>1</v>
      </c>
      <c r="L127" s="4">
        <f t="shared" si="39"/>
        <v>300</v>
      </c>
      <c r="M127" s="4">
        <f t="shared" si="40"/>
        <v>2100</v>
      </c>
      <c r="N127" s="4">
        <f t="shared" si="41"/>
        <v>9000</v>
      </c>
      <c r="O127" s="4">
        <f t="shared" si="42"/>
        <v>109500</v>
      </c>
      <c r="P127" s="4">
        <f t="shared" si="43"/>
        <v>547500</v>
      </c>
      <c r="Q127" s="4">
        <f t="shared" si="44"/>
        <v>1095000</v>
      </c>
      <c r="R127" s="5">
        <f t="shared" si="45"/>
        <v>-9.2E-6</v>
      </c>
      <c r="S127" s="5">
        <f t="shared" si="46"/>
        <v>-2.7599999999999999E-3</v>
      </c>
      <c r="T127" s="5">
        <f t="shared" si="47"/>
        <v>-1.932E-2</v>
      </c>
      <c r="U127" s="5">
        <f t="shared" si="48"/>
        <v>-8.2799999999999999E-2</v>
      </c>
      <c r="V127" s="5">
        <f t="shared" si="49"/>
        <v>-1.0074000000000001</v>
      </c>
      <c r="W127" s="5">
        <f t="shared" si="50"/>
        <v>-5.0369999999999999</v>
      </c>
      <c r="X127" s="5">
        <f t="shared" si="51"/>
        <v>-10.074</v>
      </c>
      <c r="Y127" s="3" t="s">
        <v>306</v>
      </c>
      <c r="Z127" s="3" t="s">
        <v>15</v>
      </c>
    </row>
    <row r="128" spans="1:26" ht="34.15" customHeight="1" x14ac:dyDescent="0.25">
      <c r="A128" s="3">
        <v>3</v>
      </c>
      <c r="B128" s="3" t="s">
        <v>188</v>
      </c>
      <c r="C128" s="3"/>
      <c r="D128" s="3" t="s">
        <v>139</v>
      </c>
      <c r="E128" s="3" t="s">
        <v>50</v>
      </c>
      <c r="F128" s="3" t="s">
        <v>191</v>
      </c>
      <c r="G128" s="4">
        <v>-0.5</v>
      </c>
      <c r="H128" s="3" t="s">
        <v>285</v>
      </c>
      <c r="I128" s="4">
        <v>80</v>
      </c>
      <c r="J128" s="5">
        <v>5.0000000000000001E-3</v>
      </c>
      <c r="K128" s="4">
        <f>1</f>
        <v>1</v>
      </c>
      <c r="L128" s="4">
        <f t="shared" si="39"/>
        <v>80</v>
      </c>
      <c r="M128" s="4">
        <f t="shared" si="40"/>
        <v>560</v>
      </c>
      <c r="N128" s="4">
        <f t="shared" si="41"/>
        <v>2400</v>
      </c>
      <c r="O128" s="4">
        <f t="shared" si="42"/>
        <v>29200</v>
      </c>
      <c r="P128" s="4">
        <f t="shared" si="43"/>
        <v>146000</v>
      </c>
      <c r="Q128" s="4">
        <f t="shared" si="44"/>
        <v>292000</v>
      </c>
      <c r="R128" s="5">
        <f t="shared" si="45"/>
        <v>-2.5000000000000001E-5</v>
      </c>
      <c r="S128" s="5">
        <f t="shared" si="46"/>
        <v>-2E-3</v>
      </c>
      <c r="T128" s="5">
        <f t="shared" si="47"/>
        <v>-1.4000000000000002E-2</v>
      </c>
      <c r="U128" s="5">
        <f t="shared" si="48"/>
        <v>-0.06</v>
      </c>
      <c r="V128" s="5">
        <f t="shared" si="49"/>
        <v>-0.73</v>
      </c>
      <c r="W128" s="5">
        <f t="shared" si="50"/>
        <v>-3.65</v>
      </c>
      <c r="X128" s="5">
        <f t="shared" si="51"/>
        <v>-7.3</v>
      </c>
      <c r="Y128" s="3" t="s">
        <v>307</v>
      </c>
      <c r="Z128" s="3" t="s">
        <v>15</v>
      </c>
    </row>
    <row r="129" spans="1:26" ht="34.15" customHeight="1" x14ac:dyDescent="0.25">
      <c r="A129" s="3">
        <v>4</v>
      </c>
      <c r="B129" s="3" t="s">
        <v>188</v>
      </c>
      <c r="C129" s="3"/>
      <c r="D129" s="3" t="s">
        <v>139</v>
      </c>
      <c r="E129" s="3" t="s">
        <v>50</v>
      </c>
      <c r="F129" s="3" t="s">
        <v>192</v>
      </c>
      <c r="G129" s="4">
        <v>-1.06</v>
      </c>
      <c r="H129" s="3" t="s">
        <v>285</v>
      </c>
      <c r="I129" s="4">
        <v>60</v>
      </c>
      <c r="J129" s="5">
        <v>5.0000000000000001E-3</v>
      </c>
      <c r="K129" s="4">
        <f>1</f>
        <v>1</v>
      </c>
      <c r="L129" s="4">
        <f t="shared" si="39"/>
        <v>60</v>
      </c>
      <c r="M129" s="4">
        <f t="shared" si="40"/>
        <v>420</v>
      </c>
      <c r="N129" s="4">
        <f t="shared" si="41"/>
        <v>1800</v>
      </c>
      <c r="O129" s="4">
        <f t="shared" si="42"/>
        <v>21900</v>
      </c>
      <c r="P129" s="4">
        <f t="shared" si="43"/>
        <v>109500</v>
      </c>
      <c r="Q129" s="4">
        <f t="shared" si="44"/>
        <v>219000</v>
      </c>
      <c r="R129" s="5">
        <f t="shared" si="45"/>
        <v>-5.3000000000000001E-5</v>
      </c>
      <c r="S129" s="5">
        <f t="shared" si="46"/>
        <v>-3.1800000000000001E-3</v>
      </c>
      <c r="T129" s="5">
        <f t="shared" si="47"/>
        <v>-2.2260000000000002E-2</v>
      </c>
      <c r="U129" s="5">
        <f t="shared" si="48"/>
        <v>-9.5399999999999999E-2</v>
      </c>
      <c r="V129" s="5">
        <f t="shared" si="49"/>
        <v>-1.1607000000000001</v>
      </c>
      <c r="W129" s="5">
        <f t="shared" si="50"/>
        <v>-5.8034999999999997</v>
      </c>
      <c r="X129" s="5">
        <f t="shared" si="51"/>
        <v>-11.606999999999999</v>
      </c>
      <c r="Y129" s="3" t="s">
        <v>308</v>
      </c>
      <c r="Z129" s="3" t="s">
        <v>15</v>
      </c>
    </row>
    <row r="130" spans="1:26" ht="34.15" customHeight="1" x14ac:dyDescent="0.25">
      <c r="A130" s="3">
        <v>5</v>
      </c>
      <c r="B130" s="3" t="s">
        <v>188</v>
      </c>
      <c r="C130" s="3"/>
      <c r="D130" s="3" t="s">
        <v>139</v>
      </c>
      <c r="E130" s="3" t="s">
        <v>50</v>
      </c>
      <c r="F130" s="3" t="s">
        <v>193</v>
      </c>
      <c r="G130" s="4">
        <v>-1.24</v>
      </c>
      <c r="H130" s="3" t="s">
        <v>285</v>
      </c>
      <c r="I130" s="4">
        <v>60</v>
      </c>
      <c r="J130" s="5">
        <v>5.0000000000000001E-3</v>
      </c>
      <c r="K130" s="4">
        <f>1</f>
        <v>1</v>
      </c>
      <c r="L130" s="4">
        <f t="shared" ref="L130:L161" si="52">I130</f>
        <v>60</v>
      </c>
      <c r="M130" s="4">
        <f t="shared" ref="M130:M161" si="53">I130*7</f>
        <v>420</v>
      </c>
      <c r="N130" s="4">
        <f t="shared" ref="N130:N161" si="54">I130*30</f>
        <v>1800</v>
      </c>
      <c r="O130" s="4">
        <f t="shared" ref="O130:O161" si="55">I130*365</f>
        <v>21900</v>
      </c>
      <c r="P130" s="4">
        <f t="shared" ref="P130:P161" si="56">I130*1825</f>
        <v>109500</v>
      </c>
      <c r="Q130" s="4">
        <f t="shared" ref="Q130:Q161" si="57">I130*3650</f>
        <v>219000</v>
      </c>
      <c r="R130" s="5">
        <f t="shared" ref="R130:R161" si="58">IF(D130="Linear",K130*J130*(G130/100),IF(I130&gt;0,(1+((G130/100)*J130))^(1/(I130*365))-1,0))</f>
        <v>-6.2000000000000003E-5</v>
      </c>
      <c r="S130" s="5">
        <f t="shared" ref="S130:S161" si="59">IF(D130="Linear",L130*J130*(G130/100),(1+((G130/100)*J130))^(1/365)-1)</f>
        <v>-3.7199999999999998E-3</v>
      </c>
      <c r="T130" s="5">
        <f t="shared" ref="T130:T161" si="60">IF(D130="Linear",M130*J130*(G130/100),(1+((G130/100)*J130))^(7/365)-1)</f>
        <v>-2.6040000000000001E-2</v>
      </c>
      <c r="U130" s="5">
        <f t="shared" ref="U130:U161" si="61">IF(D130="Linear",N130*J130*(G130/100),(1+((G130/100)*J130))^(30/365)-1)</f>
        <v>-0.11159999999999999</v>
      </c>
      <c r="V130" s="5">
        <f t="shared" ref="V130:V161" si="62">IF(D130="Linear",O130*J130*(G130/100),(1+((G130/100)*J130))-1)</f>
        <v>-1.3577999999999999</v>
      </c>
      <c r="W130" s="5">
        <f t="shared" ref="W130:W161" si="63">IF(D130="Linear",P130*J130*(G130/100),(1+((G130/100)*J130))^5-1)</f>
        <v>-6.7889999999999997</v>
      </c>
      <c r="X130" s="5">
        <f t="shared" ref="X130:X161" si="64">IF(D130="Linear",Q130*J130*(G130/100),(1+((G130/100)*J130))^10-1)</f>
        <v>-13.577999999999999</v>
      </c>
      <c r="Y130" s="3" t="s">
        <v>308</v>
      </c>
      <c r="Z130" s="3" t="s">
        <v>15</v>
      </c>
    </row>
    <row r="131" spans="1:26" ht="34.15" customHeight="1" x14ac:dyDescent="0.25">
      <c r="A131" s="3">
        <v>6</v>
      </c>
      <c r="B131" s="3" t="s">
        <v>188</v>
      </c>
      <c r="C131" s="3"/>
      <c r="D131" s="3" t="s">
        <v>139</v>
      </c>
      <c r="E131" s="3" t="s">
        <v>50</v>
      </c>
      <c r="F131" s="3" t="s">
        <v>194</v>
      </c>
      <c r="G131" s="4">
        <v>-1.36</v>
      </c>
      <c r="H131" s="3" t="s">
        <v>285</v>
      </c>
      <c r="I131" s="4">
        <v>40</v>
      </c>
      <c r="J131" s="5">
        <v>5.0000000000000001E-3</v>
      </c>
      <c r="K131" s="4">
        <f>1</f>
        <v>1</v>
      </c>
      <c r="L131" s="4">
        <f t="shared" si="52"/>
        <v>40</v>
      </c>
      <c r="M131" s="4">
        <f t="shared" si="53"/>
        <v>280</v>
      </c>
      <c r="N131" s="4">
        <f t="shared" si="54"/>
        <v>1200</v>
      </c>
      <c r="O131" s="4">
        <f t="shared" si="55"/>
        <v>14600</v>
      </c>
      <c r="P131" s="4">
        <f t="shared" si="56"/>
        <v>73000</v>
      </c>
      <c r="Q131" s="4">
        <f t="shared" si="57"/>
        <v>146000</v>
      </c>
      <c r="R131" s="5">
        <f t="shared" si="58"/>
        <v>-6.8000000000000013E-5</v>
      </c>
      <c r="S131" s="5">
        <f t="shared" si="59"/>
        <v>-2.7200000000000002E-3</v>
      </c>
      <c r="T131" s="5">
        <f t="shared" si="60"/>
        <v>-1.9040000000000005E-2</v>
      </c>
      <c r="U131" s="5">
        <f t="shared" si="61"/>
        <v>-8.1600000000000006E-2</v>
      </c>
      <c r="V131" s="5">
        <f t="shared" si="62"/>
        <v>-0.99280000000000013</v>
      </c>
      <c r="W131" s="5">
        <f t="shared" si="63"/>
        <v>-4.9640000000000004</v>
      </c>
      <c r="X131" s="5">
        <f t="shared" si="64"/>
        <v>-9.9280000000000008</v>
      </c>
      <c r="Y131" s="3" t="s">
        <v>309</v>
      </c>
      <c r="Z131" s="3" t="s">
        <v>15</v>
      </c>
    </row>
    <row r="132" spans="1:26" ht="34.15" customHeight="1" x14ac:dyDescent="0.25">
      <c r="A132" s="3">
        <v>7</v>
      </c>
      <c r="B132" s="3" t="s">
        <v>188</v>
      </c>
      <c r="C132" s="3"/>
      <c r="D132" s="3" t="s">
        <v>139</v>
      </c>
      <c r="E132" s="3" t="s">
        <v>50</v>
      </c>
      <c r="F132" s="3" t="s">
        <v>195</v>
      </c>
      <c r="G132" s="4">
        <v>-1.41</v>
      </c>
      <c r="H132" s="3" t="s">
        <v>285</v>
      </c>
      <c r="I132" s="4">
        <v>40</v>
      </c>
      <c r="J132" s="5">
        <v>5.0000000000000001E-3</v>
      </c>
      <c r="K132" s="4">
        <f>1</f>
        <v>1</v>
      </c>
      <c r="L132" s="4">
        <f t="shared" si="52"/>
        <v>40</v>
      </c>
      <c r="M132" s="4">
        <f t="shared" si="53"/>
        <v>280</v>
      </c>
      <c r="N132" s="4">
        <f t="shared" si="54"/>
        <v>1200</v>
      </c>
      <c r="O132" s="4">
        <f t="shared" si="55"/>
        <v>14600</v>
      </c>
      <c r="P132" s="4">
        <f t="shared" si="56"/>
        <v>73000</v>
      </c>
      <c r="Q132" s="4">
        <f t="shared" si="57"/>
        <v>146000</v>
      </c>
      <c r="R132" s="5">
        <f t="shared" si="58"/>
        <v>-7.0500000000000006E-5</v>
      </c>
      <c r="S132" s="5">
        <f t="shared" si="59"/>
        <v>-2.82E-3</v>
      </c>
      <c r="T132" s="5">
        <f t="shared" si="60"/>
        <v>-1.9740000000000001E-2</v>
      </c>
      <c r="U132" s="5">
        <f t="shared" si="61"/>
        <v>-8.4599999999999995E-2</v>
      </c>
      <c r="V132" s="5">
        <f t="shared" si="62"/>
        <v>-1.0292999999999999</v>
      </c>
      <c r="W132" s="5">
        <f t="shared" si="63"/>
        <v>-5.1464999999999996</v>
      </c>
      <c r="X132" s="5">
        <f t="shared" si="64"/>
        <v>-10.292999999999999</v>
      </c>
      <c r="Y132" s="3" t="s">
        <v>309</v>
      </c>
      <c r="Z132" s="3" t="s">
        <v>15</v>
      </c>
    </row>
    <row r="133" spans="1:26" ht="34.15" customHeight="1" x14ac:dyDescent="0.25">
      <c r="A133" s="3">
        <v>8</v>
      </c>
      <c r="B133" s="3" t="s">
        <v>188</v>
      </c>
      <c r="C133" s="3"/>
      <c r="D133" s="3" t="s">
        <v>139</v>
      </c>
      <c r="E133" s="3" t="s">
        <v>50</v>
      </c>
      <c r="F133" s="3" t="s">
        <v>196</v>
      </c>
      <c r="G133" s="4">
        <v>-2</v>
      </c>
      <c r="H133" s="3" t="s">
        <v>285</v>
      </c>
      <c r="I133" s="4">
        <v>80</v>
      </c>
      <c r="J133" s="5">
        <v>5.0000000000000001E-3</v>
      </c>
      <c r="K133" s="4">
        <f>1</f>
        <v>1</v>
      </c>
      <c r="L133" s="4">
        <f t="shared" si="52"/>
        <v>80</v>
      </c>
      <c r="M133" s="4">
        <f t="shared" si="53"/>
        <v>560</v>
      </c>
      <c r="N133" s="4">
        <f t="shared" si="54"/>
        <v>2400</v>
      </c>
      <c r="O133" s="4">
        <f t="shared" si="55"/>
        <v>29200</v>
      </c>
      <c r="P133" s="4">
        <f t="shared" si="56"/>
        <v>146000</v>
      </c>
      <c r="Q133" s="4">
        <f t="shared" si="57"/>
        <v>292000</v>
      </c>
      <c r="R133" s="5">
        <f t="shared" si="58"/>
        <v>-1E-4</v>
      </c>
      <c r="S133" s="5">
        <f t="shared" si="59"/>
        <v>-8.0000000000000002E-3</v>
      </c>
      <c r="T133" s="5">
        <f t="shared" si="60"/>
        <v>-5.6000000000000008E-2</v>
      </c>
      <c r="U133" s="5">
        <f t="shared" si="61"/>
        <v>-0.24</v>
      </c>
      <c r="V133" s="5">
        <f t="shared" si="62"/>
        <v>-2.92</v>
      </c>
      <c r="W133" s="5">
        <f t="shared" si="63"/>
        <v>-14.6</v>
      </c>
      <c r="X133" s="5">
        <f t="shared" si="64"/>
        <v>-29.2</v>
      </c>
      <c r="Y133" s="3" t="s">
        <v>307</v>
      </c>
      <c r="Z133" s="3" t="s">
        <v>15</v>
      </c>
    </row>
    <row r="134" spans="1:26" ht="34.15" customHeight="1" x14ac:dyDescent="0.25">
      <c r="A134" s="3">
        <v>9</v>
      </c>
      <c r="B134" s="3" t="s">
        <v>188</v>
      </c>
      <c r="C134" s="3"/>
      <c r="D134" s="3" t="s">
        <v>139</v>
      </c>
      <c r="E134" s="3" t="s">
        <v>50</v>
      </c>
      <c r="F134" s="3" t="s">
        <v>197</v>
      </c>
      <c r="G134" s="4">
        <v>-2.5</v>
      </c>
      <c r="H134" s="3" t="s">
        <v>285</v>
      </c>
      <c r="I134" s="4">
        <v>35</v>
      </c>
      <c r="J134" s="5">
        <v>5.0000000000000001E-3</v>
      </c>
      <c r="K134" s="4">
        <f>1</f>
        <v>1</v>
      </c>
      <c r="L134" s="4">
        <f t="shared" si="52"/>
        <v>35</v>
      </c>
      <c r="M134" s="4">
        <f t="shared" si="53"/>
        <v>245</v>
      </c>
      <c r="N134" s="4">
        <f t="shared" si="54"/>
        <v>1050</v>
      </c>
      <c r="O134" s="4">
        <f t="shared" si="55"/>
        <v>12775</v>
      </c>
      <c r="P134" s="4">
        <f t="shared" si="56"/>
        <v>63875</v>
      </c>
      <c r="Q134" s="4">
        <f t="shared" si="57"/>
        <v>127750</v>
      </c>
      <c r="R134" s="5">
        <f t="shared" si="58"/>
        <v>-1.25E-4</v>
      </c>
      <c r="S134" s="5">
        <f t="shared" si="59"/>
        <v>-4.3750000000000004E-3</v>
      </c>
      <c r="T134" s="5">
        <f t="shared" si="60"/>
        <v>-3.0625000000000003E-2</v>
      </c>
      <c r="U134" s="5">
        <f t="shared" si="61"/>
        <v>-0.13125000000000001</v>
      </c>
      <c r="V134" s="5">
        <f t="shared" si="62"/>
        <v>-1.596875</v>
      </c>
      <c r="W134" s="5">
        <f t="shared" si="63"/>
        <v>-7.984375</v>
      </c>
      <c r="X134" s="5">
        <f t="shared" si="64"/>
        <v>-15.96875</v>
      </c>
      <c r="Y134" s="3" t="s">
        <v>310</v>
      </c>
      <c r="Z134" s="3" t="s">
        <v>15</v>
      </c>
    </row>
    <row r="135" spans="1:26" ht="34.15" customHeight="1" x14ac:dyDescent="0.25">
      <c r="A135" s="3">
        <v>10</v>
      </c>
      <c r="B135" s="3" t="s">
        <v>188</v>
      </c>
      <c r="C135" s="3"/>
      <c r="D135" s="3" t="s">
        <v>139</v>
      </c>
      <c r="E135" s="3" t="s">
        <v>50</v>
      </c>
      <c r="F135" s="3" t="s">
        <v>198</v>
      </c>
      <c r="G135" s="4">
        <v>-2.7</v>
      </c>
      <c r="H135" s="3" t="s">
        <v>285</v>
      </c>
      <c r="I135" s="4">
        <v>50</v>
      </c>
      <c r="J135" s="5">
        <v>5.0000000000000001E-3</v>
      </c>
      <c r="K135" s="4">
        <f>1</f>
        <v>1</v>
      </c>
      <c r="L135" s="4">
        <f t="shared" si="52"/>
        <v>50</v>
      </c>
      <c r="M135" s="4">
        <f t="shared" si="53"/>
        <v>350</v>
      </c>
      <c r="N135" s="4">
        <f t="shared" si="54"/>
        <v>1500</v>
      </c>
      <c r="O135" s="4">
        <f t="shared" si="55"/>
        <v>18250</v>
      </c>
      <c r="P135" s="4">
        <f t="shared" si="56"/>
        <v>91250</v>
      </c>
      <c r="Q135" s="4">
        <f t="shared" si="57"/>
        <v>182500</v>
      </c>
      <c r="R135" s="5">
        <f t="shared" si="58"/>
        <v>-1.3500000000000003E-4</v>
      </c>
      <c r="S135" s="5">
        <f t="shared" si="59"/>
        <v>-6.7500000000000008E-3</v>
      </c>
      <c r="T135" s="5">
        <f t="shared" si="60"/>
        <v>-4.7250000000000007E-2</v>
      </c>
      <c r="U135" s="5">
        <f t="shared" si="61"/>
        <v>-0.20250000000000001</v>
      </c>
      <c r="V135" s="5">
        <f t="shared" si="62"/>
        <v>-2.4637500000000001</v>
      </c>
      <c r="W135" s="5">
        <f t="shared" si="63"/>
        <v>-12.318750000000001</v>
      </c>
      <c r="X135" s="5">
        <f t="shared" si="64"/>
        <v>-24.637500000000003</v>
      </c>
      <c r="Y135" s="3" t="s">
        <v>311</v>
      </c>
      <c r="Z135" s="3" t="s">
        <v>15</v>
      </c>
    </row>
    <row r="136" spans="1:26" ht="34.15" customHeight="1" x14ac:dyDescent="0.25">
      <c r="A136" s="3">
        <v>11</v>
      </c>
      <c r="B136" s="3" t="s">
        <v>188</v>
      </c>
      <c r="C136" s="3"/>
      <c r="D136" s="3" t="s">
        <v>139</v>
      </c>
      <c r="E136" s="3" t="s">
        <v>50</v>
      </c>
      <c r="F136" s="3" t="s">
        <v>199</v>
      </c>
      <c r="G136" s="4">
        <v>-3.4</v>
      </c>
      <c r="H136" s="3" t="s">
        <v>285</v>
      </c>
      <c r="I136" s="4">
        <v>45</v>
      </c>
      <c r="J136" s="5">
        <v>5.0000000000000001E-3</v>
      </c>
      <c r="K136" s="4">
        <f>1</f>
        <v>1</v>
      </c>
      <c r="L136" s="4">
        <f t="shared" si="52"/>
        <v>45</v>
      </c>
      <c r="M136" s="4">
        <f t="shared" si="53"/>
        <v>315</v>
      </c>
      <c r="N136" s="4">
        <f t="shared" si="54"/>
        <v>1350</v>
      </c>
      <c r="O136" s="4">
        <f t="shared" si="55"/>
        <v>16425</v>
      </c>
      <c r="P136" s="4">
        <f t="shared" si="56"/>
        <v>82125</v>
      </c>
      <c r="Q136" s="4">
        <f t="shared" si="57"/>
        <v>164250</v>
      </c>
      <c r="R136" s="5">
        <f t="shared" si="58"/>
        <v>-1.7000000000000001E-4</v>
      </c>
      <c r="S136" s="5">
        <f t="shared" si="59"/>
        <v>-7.6500000000000005E-3</v>
      </c>
      <c r="T136" s="5">
        <f t="shared" si="60"/>
        <v>-5.355E-2</v>
      </c>
      <c r="U136" s="5">
        <f t="shared" si="61"/>
        <v>-0.22950000000000001</v>
      </c>
      <c r="V136" s="5">
        <f t="shared" si="62"/>
        <v>-2.7922500000000001</v>
      </c>
      <c r="W136" s="5">
        <f t="shared" si="63"/>
        <v>-13.961250000000001</v>
      </c>
      <c r="X136" s="5">
        <f t="shared" si="64"/>
        <v>-27.922500000000003</v>
      </c>
      <c r="Y136" s="3" t="s">
        <v>312</v>
      </c>
      <c r="Z136" s="3" t="s">
        <v>15</v>
      </c>
    </row>
    <row r="137" spans="1:26" ht="34.15" customHeight="1" x14ac:dyDescent="0.25">
      <c r="A137" s="3">
        <v>12</v>
      </c>
      <c r="B137" s="3" t="s">
        <v>188</v>
      </c>
      <c r="C137" s="3"/>
      <c r="D137" s="3" t="s">
        <v>139</v>
      </c>
      <c r="E137" s="3" t="s">
        <v>50</v>
      </c>
      <c r="F137" s="3" t="s">
        <v>200</v>
      </c>
      <c r="G137" s="4">
        <v>-3.5</v>
      </c>
      <c r="H137" s="3" t="s">
        <v>285</v>
      </c>
      <c r="I137" s="4">
        <v>45</v>
      </c>
      <c r="J137" s="5">
        <v>5.0000000000000001E-3</v>
      </c>
      <c r="K137" s="4">
        <f>1</f>
        <v>1</v>
      </c>
      <c r="L137" s="4">
        <f t="shared" si="52"/>
        <v>45</v>
      </c>
      <c r="M137" s="4">
        <f t="shared" si="53"/>
        <v>315</v>
      </c>
      <c r="N137" s="4">
        <f t="shared" si="54"/>
        <v>1350</v>
      </c>
      <c r="O137" s="4">
        <f t="shared" si="55"/>
        <v>16425</v>
      </c>
      <c r="P137" s="4">
        <f t="shared" si="56"/>
        <v>82125</v>
      </c>
      <c r="Q137" s="4">
        <f t="shared" si="57"/>
        <v>164250</v>
      </c>
      <c r="R137" s="5">
        <f t="shared" si="58"/>
        <v>-1.7500000000000003E-4</v>
      </c>
      <c r="S137" s="5">
        <f t="shared" si="59"/>
        <v>-7.8750000000000018E-3</v>
      </c>
      <c r="T137" s="5">
        <f t="shared" si="60"/>
        <v>-5.5125E-2</v>
      </c>
      <c r="U137" s="5">
        <f t="shared" si="61"/>
        <v>-0.23625000000000002</v>
      </c>
      <c r="V137" s="5">
        <f t="shared" si="62"/>
        <v>-2.8743750000000001</v>
      </c>
      <c r="W137" s="5">
        <f t="shared" si="63"/>
        <v>-14.371875000000001</v>
      </c>
      <c r="X137" s="5">
        <f t="shared" si="64"/>
        <v>-28.743750000000002</v>
      </c>
      <c r="Y137" s="3" t="s">
        <v>312</v>
      </c>
      <c r="Z137" s="3" t="s">
        <v>15</v>
      </c>
    </row>
    <row r="138" spans="1:26" ht="34.15" customHeight="1" x14ac:dyDescent="0.25">
      <c r="A138" s="3">
        <v>13</v>
      </c>
      <c r="B138" s="3" t="s">
        <v>188</v>
      </c>
      <c r="C138" s="3"/>
      <c r="D138" s="3" t="s">
        <v>139</v>
      </c>
      <c r="E138" s="3" t="s">
        <v>50</v>
      </c>
      <c r="F138" s="3" t="s">
        <v>201</v>
      </c>
      <c r="G138" s="4">
        <v>-5</v>
      </c>
      <c r="H138" s="3" t="s">
        <v>285</v>
      </c>
      <c r="I138" s="4">
        <v>350</v>
      </c>
      <c r="J138" s="5">
        <v>1E-3</v>
      </c>
      <c r="K138" s="4">
        <f>1</f>
        <v>1</v>
      </c>
      <c r="L138" s="4">
        <f t="shared" si="52"/>
        <v>350</v>
      </c>
      <c r="M138" s="4">
        <f t="shared" si="53"/>
        <v>2450</v>
      </c>
      <c r="N138" s="4">
        <f t="shared" si="54"/>
        <v>10500</v>
      </c>
      <c r="O138" s="4">
        <f t="shared" si="55"/>
        <v>127750</v>
      </c>
      <c r="P138" s="4">
        <f t="shared" si="56"/>
        <v>638750</v>
      </c>
      <c r="Q138" s="4">
        <f t="shared" si="57"/>
        <v>1277500</v>
      </c>
      <c r="R138" s="5">
        <f t="shared" si="58"/>
        <v>-5.0000000000000002E-5</v>
      </c>
      <c r="S138" s="5">
        <f t="shared" si="59"/>
        <v>-1.7500000000000002E-2</v>
      </c>
      <c r="T138" s="5">
        <f t="shared" si="60"/>
        <v>-0.12250000000000001</v>
      </c>
      <c r="U138" s="5">
        <f t="shared" si="61"/>
        <v>-0.52500000000000002</v>
      </c>
      <c r="V138" s="5">
        <f t="shared" si="62"/>
        <v>-6.3875000000000002</v>
      </c>
      <c r="W138" s="5">
        <f t="shared" si="63"/>
        <v>-31.9375</v>
      </c>
      <c r="X138" s="5">
        <f t="shared" si="64"/>
        <v>-63.875</v>
      </c>
      <c r="Y138" s="3" t="s">
        <v>313</v>
      </c>
      <c r="Z138" s="3" t="s">
        <v>15</v>
      </c>
    </row>
    <row r="139" spans="1:26" ht="34.15" customHeight="1" x14ac:dyDescent="0.25">
      <c r="A139" s="3">
        <v>14</v>
      </c>
      <c r="B139" s="3" t="s">
        <v>188</v>
      </c>
      <c r="C139" s="3"/>
      <c r="D139" s="3" t="s">
        <v>139</v>
      </c>
      <c r="E139" s="3" t="s">
        <v>50</v>
      </c>
      <c r="F139" s="3" t="s">
        <v>202</v>
      </c>
      <c r="G139" s="4">
        <v>-5.2</v>
      </c>
      <c r="H139" s="3" t="s">
        <v>285</v>
      </c>
      <c r="I139" s="4">
        <v>45</v>
      </c>
      <c r="J139" s="5">
        <v>5.0000000000000001E-3</v>
      </c>
      <c r="K139" s="4">
        <f>1</f>
        <v>1</v>
      </c>
      <c r="L139" s="4">
        <f t="shared" si="52"/>
        <v>45</v>
      </c>
      <c r="M139" s="4">
        <f t="shared" si="53"/>
        <v>315</v>
      </c>
      <c r="N139" s="4">
        <f t="shared" si="54"/>
        <v>1350</v>
      </c>
      <c r="O139" s="4">
        <f t="shared" si="55"/>
        <v>16425</v>
      </c>
      <c r="P139" s="4">
        <f t="shared" si="56"/>
        <v>82125</v>
      </c>
      <c r="Q139" s="4">
        <f t="shared" si="57"/>
        <v>164250</v>
      </c>
      <c r="R139" s="5">
        <f t="shared" si="58"/>
        <v>-2.6000000000000003E-4</v>
      </c>
      <c r="S139" s="5">
        <f t="shared" si="59"/>
        <v>-1.1700000000000002E-2</v>
      </c>
      <c r="T139" s="5">
        <f t="shared" si="60"/>
        <v>-8.1900000000000001E-2</v>
      </c>
      <c r="U139" s="5">
        <f t="shared" si="61"/>
        <v>-0.35100000000000003</v>
      </c>
      <c r="V139" s="5">
        <f t="shared" si="62"/>
        <v>-4.2705000000000002</v>
      </c>
      <c r="W139" s="5">
        <f t="shared" si="63"/>
        <v>-21.352500000000003</v>
      </c>
      <c r="X139" s="5">
        <f t="shared" si="64"/>
        <v>-42.705000000000005</v>
      </c>
      <c r="Y139" s="3" t="s">
        <v>312</v>
      </c>
      <c r="Z139" s="3" t="s">
        <v>15</v>
      </c>
    </row>
    <row r="140" spans="1:26" ht="34.15" customHeight="1" x14ac:dyDescent="0.25">
      <c r="A140" s="3">
        <v>15</v>
      </c>
      <c r="B140" s="3" t="s">
        <v>188</v>
      </c>
      <c r="C140" s="3"/>
      <c r="D140" s="3" t="s">
        <v>139</v>
      </c>
      <c r="E140" s="3" t="s">
        <v>50</v>
      </c>
      <c r="F140" s="3" t="s">
        <v>203</v>
      </c>
      <c r="G140" s="4">
        <v>-5.26</v>
      </c>
      <c r="H140" s="3" t="s">
        <v>285</v>
      </c>
      <c r="I140" s="4">
        <v>50</v>
      </c>
      <c r="J140" s="5">
        <v>5.0000000000000001E-3</v>
      </c>
      <c r="K140" s="4">
        <f>1</f>
        <v>1</v>
      </c>
      <c r="L140" s="4">
        <f t="shared" si="52"/>
        <v>50</v>
      </c>
      <c r="M140" s="4">
        <f t="shared" si="53"/>
        <v>350</v>
      </c>
      <c r="N140" s="4">
        <f t="shared" si="54"/>
        <v>1500</v>
      </c>
      <c r="O140" s="4">
        <f t="shared" si="55"/>
        <v>18250</v>
      </c>
      <c r="P140" s="4">
        <f t="shared" si="56"/>
        <v>91250</v>
      </c>
      <c r="Q140" s="4">
        <f t="shared" si="57"/>
        <v>182500</v>
      </c>
      <c r="R140" s="5">
        <f t="shared" si="58"/>
        <v>-2.63E-4</v>
      </c>
      <c r="S140" s="5">
        <f t="shared" si="59"/>
        <v>-1.315E-2</v>
      </c>
      <c r="T140" s="5">
        <f t="shared" si="60"/>
        <v>-9.2050000000000007E-2</v>
      </c>
      <c r="U140" s="5">
        <f t="shared" si="61"/>
        <v>-0.39450000000000002</v>
      </c>
      <c r="V140" s="5">
        <f t="shared" si="62"/>
        <v>-4.7997500000000004</v>
      </c>
      <c r="W140" s="5">
        <f t="shared" si="63"/>
        <v>-23.998750000000001</v>
      </c>
      <c r="X140" s="5">
        <f t="shared" si="64"/>
        <v>-47.997500000000002</v>
      </c>
      <c r="Y140" s="3" t="s">
        <v>311</v>
      </c>
      <c r="Z140" s="3" t="s">
        <v>15</v>
      </c>
    </row>
    <row r="141" spans="1:26" ht="34.15" customHeight="1" x14ac:dyDescent="0.25">
      <c r="A141" s="3">
        <v>16</v>
      </c>
      <c r="B141" s="3" t="s">
        <v>188</v>
      </c>
      <c r="C141" s="3"/>
      <c r="D141" s="3" t="s">
        <v>139</v>
      </c>
      <c r="E141" s="3" t="s">
        <v>50</v>
      </c>
      <c r="F141" s="3" t="s">
        <v>204</v>
      </c>
      <c r="G141" s="4">
        <v>-8</v>
      </c>
      <c r="H141" s="3" t="s">
        <v>285</v>
      </c>
      <c r="I141" s="4">
        <v>350</v>
      </c>
      <c r="J141" s="5">
        <v>1E-3</v>
      </c>
      <c r="K141" s="4">
        <f>1</f>
        <v>1</v>
      </c>
      <c r="L141" s="4">
        <f t="shared" si="52"/>
        <v>350</v>
      </c>
      <c r="M141" s="4">
        <f t="shared" si="53"/>
        <v>2450</v>
      </c>
      <c r="N141" s="4">
        <f t="shared" si="54"/>
        <v>10500</v>
      </c>
      <c r="O141" s="4">
        <f t="shared" si="55"/>
        <v>127750</v>
      </c>
      <c r="P141" s="4">
        <f t="shared" si="56"/>
        <v>638750</v>
      </c>
      <c r="Q141" s="4">
        <f t="shared" si="57"/>
        <v>1277500</v>
      </c>
      <c r="R141" s="5">
        <f t="shared" si="58"/>
        <v>-8.0000000000000007E-5</v>
      </c>
      <c r="S141" s="5">
        <f t="shared" si="59"/>
        <v>-2.8000000000000004E-2</v>
      </c>
      <c r="T141" s="5">
        <f t="shared" si="60"/>
        <v>-0.19600000000000001</v>
      </c>
      <c r="U141" s="5">
        <f t="shared" si="61"/>
        <v>-0.84</v>
      </c>
      <c r="V141" s="5">
        <f t="shared" si="62"/>
        <v>-10.220000000000001</v>
      </c>
      <c r="W141" s="5">
        <f t="shared" si="63"/>
        <v>-51.1</v>
      </c>
      <c r="X141" s="5">
        <f t="shared" si="64"/>
        <v>-102.2</v>
      </c>
      <c r="Y141" s="3" t="s">
        <v>313</v>
      </c>
      <c r="Z141" s="3" t="s">
        <v>15</v>
      </c>
    </row>
    <row r="142" spans="1:26" ht="34.15" customHeight="1" x14ac:dyDescent="0.25">
      <c r="A142" s="3">
        <v>17</v>
      </c>
      <c r="B142" s="3" t="s">
        <v>188</v>
      </c>
      <c r="C142" s="3"/>
      <c r="D142" s="3" t="s">
        <v>139</v>
      </c>
      <c r="E142" s="3" t="s">
        <v>50</v>
      </c>
      <c r="F142" s="3" t="s">
        <v>205</v>
      </c>
      <c r="G142" s="4">
        <v>-15</v>
      </c>
      <c r="H142" s="3" t="s">
        <v>285</v>
      </c>
      <c r="I142" s="4">
        <v>350</v>
      </c>
      <c r="J142" s="5">
        <v>1E-3</v>
      </c>
      <c r="K142" s="4">
        <f>1</f>
        <v>1</v>
      </c>
      <c r="L142" s="4">
        <f t="shared" si="52"/>
        <v>350</v>
      </c>
      <c r="M142" s="4">
        <f t="shared" si="53"/>
        <v>2450</v>
      </c>
      <c r="N142" s="4">
        <f t="shared" si="54"/>
        <v>10500</v>
      </c>
      <c r="O142" s="4">
        <f t="shared" si="55"/>
        <v>127750</v>
      </c>
      <c r="P142" s="4">
        <f t="shared" si="56"/>
        <v>638750</v>
      </c>
      <c r="Q142" s="4">
        <f t="shared" si="57"/>
        <v>1277500</v>
      </c>
      <c r="R142" s="5">
        <f t="shared" si="58"/>
        <v>-1.4999999999999999E-4</v>
      </c>
      <c r="S142" s="5">
        <f t="shared" si="59"/>
        <v>-5.2500000000000005E-2</v>
      </c>
      <c r="T142" s="5">
        <f t="shared" si="60"/>
        <v>-0.36749999999999999</v>
      </c>
      <c r="U142" s="5">
        <f t="shared" si="61"/>
        <v>-1.575</v>
      </c>
      <c r="V142" s="5">
        <f t="shared" si="62"/>
        <v>-19.162499999999998</v>
      </c>
      <c r="W142" s="5">
        <f t="shared" si="63"/>
        <v>-95.8125</v>
      </c>
      <c r="X142" s="5">
        <f t="shared" si="64"/>
        <v>-191.625</v>
      </c>
      <c r="Y142" s="3" t="s">
        <v>313</v>
      </c>
      <c r="Z142" s="3" t="s">
        <v>15</v>
      </c>
    </row>
    <row r="143" spans="1:26" ht="34.15" customHeight="1" x14ac:dyDescent="0.25">
      <c r="A143" s="3">
        <v>18</v>
      </c>
      <c r="B143" s="3" t="s">
        <v>188</v>
      </c>
      <c r="C143" s="3"/>
      <c r="D143" s="3" t="s">
        <v>139</v>
      </c>
      <c r="E143" s="3" t="s">
        <v>50</v>
      </c>
      <c r="F143" s="3" t="s">
        <v>206</v>
      </c>
      <c r="G143" s="4">
        <v>-16</v>
      </c>
      <c r="H143" s="3" t="s">
        <v>285</v>
      </c>
      <c r="I143" s="4">
        <v>45</v>
      </c>
      <c r="J143" s="5">
        <v>5.0000000000000001E-3</v>
      </c>
      <c r="K143" s="4">
        <f>1</f>
        <v>1</v>
      </c>
      <c r="L143" s="4">
        <f t="shared" si="52"/>
        <v>45</v>
      </c>
      <c r="M143" s="4">
        <f t="shared" si="53"/>
        <v>315</v>
      </c>
      <c r="N143" s="4">
        <f t="shared" si="54"/>
        <v>1350</v>
      </c>
      <c r="O143" s="4">
        <f t="shared" si="55"/>
        <v>16425</v>
      </c>
      <c r="P143" s="4">
        <f t="shared" si="56"/>
        <v>82125</v>
      </c>
      <c r="Q143" s="4">
        <f t="shared" si="57"/>
        <v>164250</v>
      </c>
      <c r="R143" s="5">
        <f t="shared" si="58"/>
        <v>-8.0000000000000004E-4</v>
      </c>
      <c r="S143" s="5">
        <f t="shared" si="59"/>
        <v>-3.6000000000000004E-2</v>
      </c>
      <c r="T143" s="5">
        <f t="shared" si="60"/>
        <v>-0.252</v>
      </c>
      <c r="U143" s="5">
        <f t="shared" si="61"/>
        <v>-1.08</v>
      </c>
      <c r="V143" s="5">
        <f t="shared" si="62"/>
        <v>-13.14</v>
      </c>
      <c r="W143" s="5">
        <f t="shared" si="63"/>
        <v>-65.7</v>
      </c>
      <c r="X143" s="5">
        <f t="shared" si="64"/>
        <v>-131.4</v>
      </c>
      <c r="Y143" s="3" t="s">
        <v>312</v>
      </c>
      <c r="Z143" s="3" t="s">
        <v>15</v>
      </c>
    </row>
    <row r="144" spans="1:26" ht="34.15" customHeight="1" x14ac:dyDescent="0.25">
      <c r="A144" s="3">
        <v>19</v>
      </c>
      <c r="B144" s="3" t="s">
        <v>188</v>
      </c>
      <c r="C144" s="3"/>
      <c r="D144" s="3" t="s">
        <v>139</v>
      </c>
      <c r="E144" s="3" t="s">
        <v>50</v>
      </c>
      <c r="F144" s="3" t="s">
        <v>207</v>
      </c>
      <c r="G144" s="4">
        <v>-28</v>
      </c>
      <c r="H144" s="3" t="s">
        <v>285</v>
      </c>
      <c r="I144" s="4">
        <v>15</v>
      </c>
      <c r="J144" s="5">
        <v>3.0000000000000001E-3</v>
      </c>
      <c r="K144" s="4">
        <f>1</f>
        <v>1</v>
      </c>
      <c r="L144" s="4">
        <f t="shared" si="52"/>
        <v>15</v>
      </c>
      <c r="M144" s="4">
        <f t="shared" si="53"/>
        <v>105</v>
      </c>
      <c r="N144" s="4">
        <f t="shared" si="54"/>
        <v>450</v>
      </c>
      <c r="O144" s="4">
        <f t="shared" si="55"/>
        <v>5475</v>
      </c>
      <c r="P144" s="4">
        <f t="shared" si="56"/>
        <v>27375</v>
      </c>
      <c r="Q144" s="4">
        <f t="shared" si="57"/>
        <v>54750</v>
      </c>
      <c r="R144" s="5">
        <f t="shared" si="58"/>
        <v>-8.4000000000000014E-4</v>
      </c>
      <c r="S144" s="5">
        <f t="shared" si="59"/>
        <v>-1.26E-2</v>
      </c>
      <c r="T144" s="5">
        <f t="shared" si="60"/>
        <v>-8.8200000000000014E-2</v>
      </c>
      <c r="U144" s="5">
        <f t="shared" si="61"/>
        <v>-0.37800000000000006</v>
      </c>
      <c r="V144" s="5">
        <f t="shared" si="62"/>
        <v>-4.5990000000000002</v>
      </c>
      <c r="W144" s="5">
        <f t="shared" si="63"/>
        <v>-22.995000000000001</v>
      </c>
      <c r="X144" s="5">
        <f t="shared" si="64"/>
        <v>-45.99</v>
      </c>
      <c r="Y144" s="3" t="s">
        <v>314</v>
      </c>
      <c r="Z144" s="3" t="s">
        <v>15</v>
      </c>
    </row>
    <row r="145" spans="1:26" ht="34.15" customHeight="1" x14ac:dyDescent="0.25">
      <c r="A145" s="3">
        <v>20</v>
      </c>
      <c r="B145" s="3" t="s">
        <v>188</v>
      </c>
      <c r="C145" s="3"/>
      <c r="D145" s="3" t="s">
        <v>139</v>
      </c>
      <c r="E145" s="3" t="s">
        <v>50</v>
      </c>
      <c r="F145" s="3" t="s">
        <v>208</v>
      </c>
      <c r="G145" s="4">
        <v>-35</v>
      </c>
      <c r="H145" s="3" t="s">
        <v>285</v>
      </c>
      <c r="I145" s="4">
        <v>15</v>
      </c>
      <c r="J145" s="5">
        <v>3.0000000000000001E-3</v>
      </c>
      <c r="K145" s="4">
        <f>1</f>
        <v>1</v>
      </c>
      <c r="L145" s="4">
        <f t="shared" si="52"/>
        <v>15</v>
      </c>
      <c r="M145" s="4">
        <f t="shared" si="53"/>
        <v>105</v>
      </c>
      <c r="N145" s="4">
        <f t="shared" si="54"/>
        <v>450</v>
      </c>
      <c r="O145" s="4">
        <f t="shared" si="55"/>
        <v>5475</v>
      </c>
      <c r="P145" s="4">
        <f t="shared" si="56"/>
        <v>27375</v>
      </c>
      <c r="Q145" s="4">
        <f t="shared" si="57"/>
        <v>54750</v>
      </c>
      <c r="R145" s="5">
        <f t="shared" si="58"/>
        <v>-1.0499999999999999E-3</v>
      </c>
      <c r="S145" s="5">
        <f t="shared" si="59"/>
        <v>-1.575E-2</v>
      </c>
      <c r="T145" s="5">
        <f t="shared" si="60"/>
        <v>-0.11024999999999999</v>
      </c>
      <c r="U145" s="5">
        <f t="shared" si="61"/>
        <v>-0.47249999999999998</v>
      </c>
      <c r="V145" s="5">
        <f t="shared" si="62"/>
        <v>-5.7487500000000002</v>
      </c>
      <c r="W145" s="5">
        <f t="shared" si="63"/>
        <v>-28.743749999999999</v>
      </c>
      <c r="X145" s="5">
        <f t="shared" si="64"/>
        <v>-57.487499999999997</v>
      </c>
      <c r="Y145" s="3" t="s">
        <v>314</v>
      </c>
      <c r="Z145" s="3" t="s">
        <v>15</v>
      </c>
    </row>
    <row r="146" spans="1:26" ht="34.15" customHeight="1" x14ac:dyDescent="0.25">
      <c r="A146" s="3">
        <v>21</v>
      </c>
      <c r="B146" s="3" t="s">
        <v>188</v>
      </c>
      <c r="C146" s="3"/>
      <c r="D146" s="3" t="s">
        <v>139</v>
      </c>
      <c r="E146" s="3" t="s">
        <v>81</v>
      </c>
      <c r="F146" s="3" t="s">
        <v>209</v>
      </c>
      <c r="G146" s="4">
        <v>0.63</v>
      </c>
      <c r="H146" s="3" t="s">
        <v>285</v>
      </c>
      <c r="I146" s="4">
        <v>100</v>
      </c>
      <c r="J146" s="5">
        <v>5.0000000000000001E-3</v>
      </c>
      <c r="K146" s="4">
        <f>1</f>
        <v>1</v>
      </c>
      <c r="L146" s="4">
        <f t="shared" si="52"/>
        <v>100</v>
      </c>
      <c r="M146" s="4">
        <f t="shared" si="53"/>
        <v>700</v>
      </c>
      <c r="N146" s="4">
        <f t="shared" si="54"/>
        <v>3000</v>
      </c>
      <c r="O146" s="4">
        <f t="shared" si="55"/>
        <v>36500</v>
      </c>
      <c r="P146" s="4">
        <f t="shared" si="56"/>
        <v>182500</v>
      </c>
      <c r="Q146" s="4">
        <f t="shared" si="57"/>
        <v>365000</v>
      </c>
      <c r="R146" s="5">
        <f t="shared" si="58"/>
        <v>3.15E-5</v>
      </c>
      <c r="S146" s="5">
        <f t="shared" si="59"/>
        <v>3.15E-3</v>
      </c>
      <c r="T146" s="5">
        <f t="shared" si="60"/>
        <v>2.205E-2</v>
      </c>
      <c r="U146" s="5">
        <f t="shared" si="61"/>
        <v>9.4500000000000001E-2</v>
      </c>
      <c r="V146" s="5">
        <f t="shared" si="62"/>
        <v>1.14975</v>
      </c>
      <c r="W146" s="5">
        <f t="shared" si="63"/>
        <v>5.7487500000000002</v>
      </c>
      <c r="X146" s="5">
        <f t="shared" si="64"/>
        <v>11.4975</v>
      </c>
      <c r="Y146" s="3" t="s">
        <v>305</v>
      </c>
      <c r="Z146" s="3" t="s">
        <v>15</v>
      </c>
    </row>
    <row r="147" spans="1:26" ht="34.15" customHeight="1" x14ac:dyDescent="0.25">
      <c r="A147" s="3">
        <v>1</v>
      </c>
      <c r="B147" s="3" t="s">
        <v>210</v>
      </c>
      <c r="C147" s="3"/>
      <c r="D147" s="3" t="s">
        <v>139</v>
      </c>
      <c r="E147" s="3" t="s">
        <v>50</v>
      </c>
      <c r="F147" s="3" t="s">
        <v>211</v>
      </c>
      <c r="G147" s="4">
        <v>8</v>
      </c>
      <c r="H147" s="3" t="s">
        <v>285</v>
      </c>
      <c r="I147" s="4">
        <v>120</v>
      </c>
      <c r="J147" s="5">
        <v>3.0000000000000001E-3</v>
      </c>
      <c r="K147" s="4">
        <f>1</f>
        <v>1</v>
      </c>
      <c r="L147" s="4">
        <f t="shared" si="52"/>
        <v>120</v>
      </c>
      <c r="M147" s="4">
        <f t="shared" si="53"/>
        <v>840</v>
      </c>
      <c r="N147" s="4">
        <f t="shared" si="54"/>
        <v>3600</v>
      </c>
      <c r="O147" s="4">
        <f t="shared" si="55"/>
        <v>43800</v>
      </c>
      <c r="P147" s="4">
        <f t="shared" si="56"/>
        <v>219000</v>
      </c>
      <c r="Q147" s="4">
        <f t="shared" si="57"/>
        <v>438000</v>
      </c>
      <c r="R147" s="5">
        <f t="shared" si="58"/>
        <v>2.4000000000000001E-4</v>
      </c>
      <c r="S147" s="5">
        <f t="shared" si="59"/>
        <v>2.8799999999999999E-2</v>
      </c>
      <c r="T147" s="5">
        <f t="shared" si="60"/>
        <v>0.2016</v>
      </c>
      <c r="U147" s="5">
        <f t="shared" si="61"/>
        <v>0.8640000000000001</v>
      </c>
      <c r="V147" s="5">
        <f t="shared" si="62"/>
        <v>10.512</v>
      </c>
      <c r="W147" s="5">
        <f t="shared" si="63"/>
        <v>52.56</v>
      </c>
      <c r="X147" s="5">
        <f t="shared" si="64"/>
        <v>105.12</v>
      </c>
      <c r="Y147" s="3" t="s">
        <v>315</v>
      </c>
      <c r="Z147" s="3" t="s">
        <v>15</v>
      </c>
    </row>
    <row r="148" spans="1:26" ht="34.15" customHeight="1" x14ac:dyDescent="0.25">
      <c r="A148" s="3">
        <v>2</v>
      </c>
      <c r="B148" s="3" t="s">
        <v>210</v>
      </c>
      <c r="C148" s="3"/>
      <c r="D148" s="3" t="s">
        <v>139</v>
      </c>
      <c r="E148" s="3" t="s">
        <v>50</v>
      </c>
      <c r="F148" s="3" t="s">
        <v>212</v>
      </c>
      <c r="G148" s="4">
        <v>5</v>
      </c>
      <c r="H148" s="3" t="s">
        <v>285</v>
      </c>
      <c r="I148" s="4">
        <v>120</v>
      </c>
      <c r="J148" s="5">
        <v>3.0000000000000001E-3</v>
      </c>
      <c r="K148" s="4">
        <f>1</f>
        <v>1</v>
      </c>
      <c r="L148" s="4">
        <f t="shared" si="52"/>
        <v>120</v>
      </c>
      <c r="M148" s="4">
        <f t="shared" si="53"/>
        <v>840</v>
      </c>
      <c r="N148" s="4">
        <f t="shared" si="54"/>
        <v>3600</v>
      </c>
      <c r="O148" s="4">
        <f t="shared" si="55"/>
        <v>43800</v>
      </c>
      <c r="P148" s="4">
        <f t="shared" si="56"/>
        <v>219000</v>
      </c>
      <c r="Q148" s="4">
        <f t="shared" si="57"/>
        <v>438000</v>
      </c>
      <c r="R148" s="5">
        <f t="shared" si="58"/>
        <v>1.5000000000000001E-4</v>
      </c>
      <c r="S148" s="5">
        <f t="shared" si="59"/>
        <v>1.7999999999999999E-2</v>
      </c>
      <c r="T148" s="5">
        <f t="shared" si="60"/>
        <v>0.126</v>
      </c>
      <c r="U148" s="5">
        <f t="shared" si="61"/>
        <v>0.54</v>
      </c>
      <c r="V148" s="5">
        <f t="shared" si="62"/>
        <v>6.57</v>
      </c>
      <c r="W148" s="5">
        <f t="shared" si="63"/>
        <v>32.85</v>
      </c>
      <c r="X148" s="5">
        <f t="shared" si="64"/>
        <v>65.7</v>
      </c>
      <c r="Y148" s="3" t="s">
        <v>315</v>
      </c>
      <c r="Z148" s="3" t="s">
        <v>15</v>
      </c>
    </row>
    <row r="149" spans="1:26" ht="34.15" customHeight="1" x14ac:dyDescent="0.25">
      <c r="A149" s="3">
        <v>3</v>
      </c>
      <c r="B149" s="3" t="s">
        <v>210</v>
      </c>
      <c r="C149" s="3"/>
      <c r="D149" s="3" t="s">
        <v>139</v>
      </c>
      <c r="E149" s="3" t="s">
        <v>50</v>
      </c>
      <c r="F149" s="3" t="s">
        <v>213</v>
      </c>
      <c r="G149" s="4">
        <v>5</v>
      </c>
      <c r="H149" s="3" t="s">
        <v>285</v>
      </c>
      <c r="I149" s="4">
        <v>0.3</v>
      </c>
      <c r="J149" s="5">
        <v>0.02</v>
      </c>
      <c r="K149" s="4">
        <f>1</f>
        <v>1</v>
      </c>
      <c r="L149" s="4">
        <f t="shared" si="52"/>
        <v>0.3</v>
      </c>
      <c r="M149" s="4">
        <f t="shared" si="53"/>
        <v>2.1</v>
      </c>
      <c r="N149" s="4">
        <f t="shared" si="54"/>
        <v>9</v>
      </c>
      <c r="O149" s="4">
        <f t="shared" si="55"/>
        <v>109.5</v>
      </c>
      <c r="P149" s="4">
        <f t="shared" si="56"/>
        <v>547.5</v>
      </c>
      <c r="Q149" s="4">
        <f t="shared" si="57"/>
        <v>1095</v>
      </c>
      <c r="R149" s="5">
        <f t="shared" si="58"/>
        <v>1E-3</v>
      </c>
      <c r="S149" s="5">
        <f t="shared" si="59"/>
        <v>3.0000000000000003E-4</v>
      </c>
      <c r="T149" s="5">
        <f t="shared" si="60"/>
        <v>2.1000000000000003E-3</v>
      </c>
      <c r="U149" s="5">
        <f t="shared" si="61"/>
        <v>8.9999999999999993E-3</v>
      </c>
      <c r="V149" s="5">
        <f t="shared" si="62"/>
        <v>0.1095</v>
      </c>
      <c r="W149" s="5">
        <f t="shared" si="63"/>
        <v>0.5475000000000001</v>
      </c>
      <c r="X149" s="5">
        <f t="shared" si="64"/>
        <v>1.0950000000000002</v>
      </c>
      <c r="Y149" s="3" t="s">
        <v>316</v>
      </c>
      <c r="Z149" s="3" t="s">
        <v>15</v>
      </c>
    </row>
    <row r="150" spans="1:26" ht="34.15" customHeight="1" x14ac:dyDescent="0.25">
      <c r="A150" s="3">
        <v>4</v>
      </c>
      <c r="B150" s="3" t="s">
        <v>210</v>
      </c>
      <c r="C150" s="3"/>
      <c r="D150" s="3" t="s">
        <v>139</v>
      </c>
      <c r="E150" s="3" t="s">
        <v>50</v>
      </c>
      <c r="F150" s="3" t="s">
        <v>214</v>
      </c>
      <c r="G150" s="4">
        <v>3</v>
      </c>
      <c r="H150" s="3" t="s">
        <v>285</v>
      </c>
      <c r="I150" s="4">
        <v>500</v>
      </c>
      <c r="J150" s="5">
        <v>2E-3</v>
      </c>
      <c r="K150" s="4">
        <f>1</f>
        <v>1</v>
      </c>
      <c r="L150" s="4">
        <f t="shared" si="52"/>
        <v>500</v>
      </c>
      <c r="M150" s="4">
        <f t="shared" si="53"/>
        <v>3500</v>
      </c>
      <c r="N150" s="4">
        <f t="shared" si="54"/>
        <v>15000</v>
      </c>
      <c r="O150" s="4">
        <f t="shared" si="55"/>
        <v>182500</v>
      </c>
      <c r="P150" s="4">
        <f t="shared" si="56"/>
        <v>912500</v>
      </c>
      <c r="Q150" s="4">
        <f t="shared" si="57"/>
        <v>1825000</v>
      </c>
      <c r="R150" s="5">
        <f t="shared" si="58"/>
        <v>6.0000000000000002E-5</v>
      </c>
      <c r="S150" s="5">
        <f t="shared" si="59"/>
        <v>0.03</v>
      </c>
      <c r="T150" s="5">
        <f t="shared" si="60"/>
        <v>0.21</v>
      </c>
      <c r="U150" s="5">
        <f t="shared" si="61"/>
        <v>0.89999999999999991</v>
      </c>
      <c r="V150" s="5">
        <f t="shared" si="62"/>
        <v>10.95</v>
      </c>
      <c r="W150" s="5">
        <f t="shared" si="63"/>
        <v>54.75</v>
      </c>
      <c r="X150" s="5">
        <f t="shared" si="64"/>
        <v>109.5</v>
      </c>
      <c r="Y150" s="3" t="s">
        <v>317</v>
      </c>
      <c r="Z150" s="3" t="s">
        <v>15</v>
      </c>
    </row>
    <row r="151" spans="1:26" ht="34.15" customHeight="1" x14ac:dyDescent="0.25">
      <c r="A151" s="3">
        <v>5</v>
      </c>
      <c r="B151" s="3" t="s">
        <v>210</v>
      </c>
      <c r="C151" s="3"/>
      <c r="D151" s="3" t="s">
        <v>139</v>
      </c>
      <c r="E151" s="3" t="s">
        <v>50</v>
      </c>
      <c r="F151" s="3" t="s">
        <v>215</v>
      </c>
      <c r="G151" s="4">
        <v>3</v>
      </c>
      <c r="H151" s="3" t="s">
        <v>285</v>
      </c>
      <c r="I151" s="4">
        <v>1</v>
      </c>
      <c r="J151" s="5">
        <v>0.02</v>
      </c>
      <c r="K151" s="4">
        <f>1</f>
        <v>1</v>
      </c>
      <c r="L151" s="4">
        <f t="shared" si="52"/>
        <v>1</v>
      </c>
      <c r="M151" s="4">
        <f t="shared" si="53"/>
        <v>7</v>
      </c>
      <c r="N151" s="4">
        <f t="shared" si="54"/>
        <v>30</v>
      </c>
      <c r="O151" s="4">
        <f t="shared" si="55"/>
        <v>365</v>
      </c>
      <c r="P151" s="4">
        <f t="shared" si="56"/>
        <v>1825</v>
      </c>
      <c r="Q151" s="4">
        <f t="shared" si="57"/>
        <v>3650</v>
      </c>
      <c r="R151" s="5">
        <f t="shared" si="58"/>
        <v>5.9999999999999995E-4</v>
      </c>
      <c r="S151" s="5">
        <f t="shared" si="59"/>
        <v>5.9999999999999995E-4</v>
      </c>
      <c r="T151" s="5">
        <f t="shared" si="60"/>
        <v>4.2000000000000006E-3</v>
      </c>
      <c r="U151" s="5">
        <f t="shared" si="61"/>
        <v>1.7999999999999999E-2</v>
      </c>
      <c r="V151" s="5">
        <f t="shared" si="62"/>
        <v>0.219</v>
      </c>
      <c r="W151" s="5">
        <f t="shared" si="63"/>
        <v>1.095</v>
      </c>
      <c r="X151" s="5">
        <f t="shared" si="64"/>
        <v>2.19</v>
      </c>
      <c r="Y151" s="3" t="s">
        <v>318</v>
      </c>
      <c r="Z151" s="3" t="s">
        <v>15</v>
      </c>
    </row>
    <row r="152" spans="1:26" ht="34.15" customHeight="1" x14ac:dyDescent="0.25">
      <c r="A152" s="3">
        <v>6</v>
      </c>
      <c r="B152" s="3" t="s">
        <v>210</v>
      </c>
      <c r="C152" s="3"/>
      <c r="D152" s="3" t="s">
        <v>139</v>
      </c>
      <c r="E152" s="3" t="s">
        <v>50</v>
      </c>
      <c r="F152" s="3" t="s">
        <v>216</v>
      </c>
      <c r="G152" s="4">
        <v>2</v>
      </c>
      <c r="H152" s="3" t="s">
        <v>285</v>
      </c>
      <c r="I152" s="4">
        <v>1</v>
      </c>
      <c r="J152" s="5">
        <v>0.02</v>
      </c>
      <c r="K152" s="4">
        <f>1</f>
        <v>1</v>
      </c>
      <c r="L152" s="4">
        <f t="shared" si="52"/>
        <v>1</v>
      </c>
      <c r="M152" s="4">
        <f t="shared" si="53"/>
        <v>7</v>
      </c>
      <c r="N152" s="4">
        <f t="shared" si="54"/>
        <v>30</v>
      </c>
      <c r="O152" s="4">
        <f t="shared" si="55"/>
        <v>365</v>
      </c>
      <c r="P152" s="4">
        <f t="shared" si="56"/>
        <v>1825</v>
      </c>
      <c r="Q152" s="4">
        <f t="shared" si="57"/>
        <v>3650</v>
      </c>
      <c r="R152" s="5">
        <f t="shared" si="58"/>
        <v>4.0000000000000002E-4</v>
      </c>
      <c r="S152" s="5">
        <f t="shared" si="59"/>
        <v>4.0000000000000002E-4</v>
      </c>
      <c r="T152" s="5">
        <f t="shared" si="60"/>
        <v>2.8000000000000004E-3</v>
      </c>
      <c r="U152" s="5">
        <f t="shared" si="61"/>
        <v>1.2E-2</v>
      </c>
      <c r="V152" s="5">
        <f t="shared" si="62"/>
        <v>0.14599999999999999</v>
      </c>
      <c r="W152" s="5">
        <f t="shared" si="63"/>
        <v>0.73</v>
      </c>
      <c r="X152" s="5">
        <f t="shared" si="64"/>
        <v>1.46</v>
      </c>
      <c r="Y152" s="3" t="s">
        <v>318</v>
      </c>
      <c r="Z152" s="3" t="s">
        <v>15</v>
      </c>
    </row>
    <row r="153" spans="1:26" ht="34.15" customHeight="1" x14ac:dyDescent="0.25">
      <c r="A153" s="3">
        <v>7</v>
      </c>
      <c r="B153" s="3" t="s">
        <v>210</v>
      </c>
      <c r="C153" s="3"/>
      <c r="D153" s="3" t="s">
        <v>139</v>
      </c>
      <c r="E153" s="3" t="s">
        <v>50</v>
      </c>
      <c r="F153" s="3" t="s">
        <v>217</v>
      </c>
      <c r="G153" s="4">
        <v>1.5</v>
      </c>
      <c r="H153" s="3" t="s">
        <v>285</v>
      </c>
      <c r="I153" s="4">
        <v>120</v>
      </c>
      <c r="J153" s="5">
        <v>3.0000000000000001E-3</v>
      </c>
      <c r="K153" s="4">
        <f>1</f>
        <v>1</v>
      </c>
      <c r="L153" s="4">
        <f t="shared" si="52"/>
        <v>120</v>
      </c>
      <c r="M153" s="4">
        <f t="shared" si="53"/>
        <v>840</v>
      </c>
      <c r="N153" s="4">
        <f t="shared" si="54"/>
        <v>3600</v>
      </c>
      <c r="O153" s="4">
        <f t="shared" si="55"/>
        <v>43800</v>
      </c>
      <c r="P153" s="4">
        <f t="shared" si="56"/>
        <v>219000</v>
      </c>
      <c r="Q153" s="4">
        <f t="shared" si="57"/>
        <v>438000</v>
      </c>
      <c r="R153" s="5">
        <f t="shared" si="58"/>
        <v>4.4999999999999996E-5</v>
      </c>
      <c r="S153" s="5">
        <f t="shared" si="59"/>
        <v>5.3999999999999994E-3</v>
      </c>
      <c r="T153" s="5">
        <f t="shared" si="60"/>
        <v>3.78E-2</v>
      </c>
      <c r="U153" s="5">
        <f t="shared" si="61"/>
        <v>0.16200000000000001</v>
      </c>
      <c r="V153" s="5">
        <f t="shared" si="62"/>
        <v>1.9710000000000001</v>
      </c>
      <c r="W153" s="5">
        <f t="shared" si="63"/>
        <v>9.8550000000000004</v>
      </c>
      <c r="X153" s="5">
        <f t="shared" si="64"/>
        <v>19.71</v>
      </c>
      <c r="Y153" s="3" t="s">
        <v>315</v>
      </c>
      <c r="Z153" s="3" t="s">
        <v>15</v>
      </c>
    </row>
    <row r="154" spans="1:26" ht="34.15" customHeight="1" x14ac:dyDescent="0.25">
      <c r="A154" s="3">
        <v>8</v>
      </c>
      <c r="B154" s="3" t="s">
        <v>210</v>
      </c>
      <c r="C154" s="3"/>
      <c r="D154" s="3" t="s">
        <v>139</v>
      </c>
      <c r="E154" s="3" t="s">
        <v>50</v>
      </c>
      <c r="F154" s="3" t="s">
        <v>218</v>
      </c>
      <c r="G154" s="4">
        <v>-5</v>
      </c>
      <c r="H154" s="3" t="s">
        <v>285</v>
      </c>
      <c r="I154" s="4">
        <v>120</v>
      </c>
      <c r="J154" s="5">
        <v>3.0000000000000001E-3</v>
      </c>
      <c r="K154" s="4">
        <f>1</f>
        <v>1</v>
      </c>
      <c r="L154" s="4">
        <f t="shared" si="52"/>
        <v>120</v>
      </c>
      <c r="M154" s="4">
        <f t="shared" si="53"/>
        <v>840</v>
      </c>
      <c r="N154" s="4">
        <f t="shared" si="54"/>
        <v>3600</v>
      </c>
      <c r="O154" s="4">
        <f t="shared" si="55"/>
        <v>43800</v>
      </c>
      <c r="P154" s="4">
        <f t="shared" si="56"/>
        <v>219000</v>
      </c>
      <c r="Q154" s="4">
        <f t="shared" si="57"/>
        <v>438000</v>
      </c>
      <c r="R154" s="5">
        <f t="shared" si="58"/>
        <v>-1.5000000000000001E-4</v>
      </c>
      <c r="S154" s="5">
        <f t="shared" si="59"/>
        <v>-1.7999999999999999E-2</v>
      </c>
      <c r="T154" s="5">
        <f t="shared" si="60"/>
        <v>-0.126</v>
      </c>
      <c r="U154" s="5">
        <f t="shared" si="61"/>
        <v>-0.54</v>
      </c>
      <c r="V154" s="5">
        <f t="shared" si="62"/>
        <v>-6.57</v>
      </c>
      <c r="W154" s="5">
        <f t="shared" si="63"/>
        <v>-32.85</v>
      </c>
      <c r="X154" s="5">
        <f t="shared" si="64"/>
        <v>-65.7</v>
      </c>
      <c r="Y154" s="3" t="s">
        <v>315</v>
      </c>
      <c r="Z154" s="3" t="s">
        <v>15</v>
      </c>
    </row>
    <row r="155" spans="1:26" ht="34.15" customHeight="1" x14ac:dyDescent="0.25">
      <c r="A155" s="3">
        <v>9</v>
      </c>
      <c r="B155" s="3" t="s">
        <v>210</v>
      </c>
      <c r="C155" s="3"/>
      <c r="D155" s="3" t="s">
        <v>139</v>
      </c>
      <c r="E155" s="3" t="s">
        <v>50</v>
      </c>
      <c r="F155" s="3" t="s">
        <v>219</v>
      </c>
      <c r="G155" s="4">
        <v>-8</v>
      </c>
      <c r="H155" s="3" t="s">
        <v>285</v>
      </c>
      <c r="I155" s="4">
        <v>500</v>
      </c>
      <c r="J155" s="5">
        <v>2E-3</v>
      </c>
      <c r="K155" s="4">
        <f>1</f>
        <v>1</v>
      </c>
      <c r="L155" s="4">
        <f t="shared" si="52"/>
        <v>500</v>
      </c>
      <c r="M155" s="4">
        <f t="shared" si="53"/>
        <v>3500</v>
      </c>
      <c r="N155" s="4">
        <f t="shared" si="54"/>
        <v>15000</v>
      </c>
      <c r="O155" s="4">
        <f t="shared" si="55"/>
        <v>182500</v>
      </c>
      <c r="P155" s="4">
        <f t="shared" si="56"/>
        <v>912500</v>
      </c>
      <c r="Q155" s="4">
        <f t="shared" si="57"/>
        <v>1825000</v>
      </c>
      <c r="R155" s="5">
        <f t="shared" si="58"/>
        <v>-1.6000000000000001E-4</v>
      </c>
      <c r="S155" s="5">
        <f t="shared" si="59"/>
        <v>-0.08</v>
      </c>
      <c r="T155" s="5">
        <f t="shared" si="60"/>
        <v>-0.56000000000000005</v>
      </c>
      <c r="U155" s="5">
        <f t="shared" si="61"/>
        <v>-2.4</v>
      </c>
      <c r="V155" s="5">
        <f t="shared" si="62"/>
        <v>-29.2</v>
      </c>
      <c r="W155" s="5">
        <f t="shared" si="63"/>
        <v>-146</v>
      </c>
      <c r="X155" s="5">
        <f t="shared" si="64"/>
        <v>-292</v>
      </c>
      <c r="Y155" s="3" t="s">
        <v>317</v>
      </c>
      <c r="Z155" s="3" t="s">
        <v>15</v>
      </c>
    </row>
    <row r="156" spans="1:26" ht="34.15" customHeight="1" x14ac:dyDescent="0.25">
      <c r="A156" s="3">
        <v>10</v>
      </c>
      <c r="B156" s="3" t="s">
        <v>210</v>
      </c>
      <c r="C156" s="3"/>
      <c r="D156" s="3" t="s">
        <v>139</v>
      </c>
      <c r="E156" s="3" t="s">
        <v>50</v>
      </c>
      <c r="F156" s="3" t="s">
        <v>220</v>
      </c>
      <c r="G156" s="4">
        <v>-10</v>
      </c>
      <c r="H156" s="3" t="s">
        <v>285</v>
      </c>
      <c r="I156" s="4">
        <v>120</v>
      </c>
      <c r="J156" s="5">
        <v>3.0000000000000001E-3</v>
      </c>
      <c r="K156" s="4">
        <f>1</f>
        <v>1</v>
      </c>
      <c r="L156" s="4">
        <f t="shared" si="52"/>
        <v>120</v>
      </c>
      <c r="M156" s="4">
        <f t="shared" si="53"/>
        <v>840</v>
      </c>
      <c r="N156" s="4">
        <f t="shared" si="54"/>
        <v>3600</v>
      </c>
      <c r="O156" s="4">
        <f t="shared" si="55"/>
        <v>43800</v>
      </c>
      <c r="P156" s="4">
        <f t="shared" si="56"/>
        <v>219000</v>
      </c>
      <c r="Q156" s="4">
        <f t="shared" si="57"/>
        <v>438000</v>
      </c>
      <c r="R156" s="5">
        <f t="shared" si="58"/>
        <v>-3.0000000000000003E-4</v>
      </c>
      <c r="S156" s="5">
        <f t="shared" si="59"/>
        <v>-3.5999999999999997E-2</v>
      </c>
      <c r="T156" s="5">
        <f t="shared" si="60"/>
        <v>-0.252</v>
      </c>
      <c r="U156" s="5">
        <f t="shared" si="61"/>
        <v>-1.08</v>
      </c>
      <c r="V156" s="5">
        <f t="shared" si="62"/>
        <v>-13.14</v>
      </c>
      <c r="W156" s="5">
        <f t="shared" si="63"/>
        <v>-65.7</v>
      </c>
      <c r="X156" s="5">
        <f t="shared" si="64"/>
        <v>-131.4</v>
      </c>
      <c r="Y156" s="3" t="s">
        <v>315</v>
      </c>
      <c r="Z156" s="3" t="s">
        <v>15</v>
      </c>
    </row>
    <row r="157" spans="1:26" ht="34.15" customHeight="1" x14ac:dyDescent="0.25">
      <c r="A157" s="3">
        <v>11</v>
      </c>
      <c r="B157" s="3" t="s">
        <v>210</v>
      </c>
      <c r="C157" s="3"/>
      <c r="D157" s="3" t="s">
        <v>139</v>
      </c>
      <c r="E157" s="3" t="s">
        <v>50</v>
      </c>
      <c r="F157" s="3" t="s">
        <v>221</v>
      </c>
      <c r="G157" s="4">
        <v>-12</v>
      </c>
      <c r="H157" s="3" t="s">
        <v>285</v>
      </c>
      <c r="I157" s="4">
        <v>0.3</v>
      </c>
      <c r="J157" s="5">
        <v>0.02</v>
      </c>
      <c r="K157" s="4">
        <f>1</f>
        <v>1</v>
      </c>
      <c r="L157" s="4">
        <f t="shared" si="52"/>
        <v>0.3</v>
      </c>
      <c r="M157" s="4">
        <f t="shared" si="53"/>
        <v>2.1</v>
      </c>
      <c r="N157" s="4">
        <f t="shared" si="54"/>
        <v>9</v>
      </c>
      <c r="O157" s="4">
        <f t="shared" si="55"/>
        <v>109.5</v>
      </c>
      <c r="P157" s="4">
        <f t="shared" si="56"/>
        <v>547.5</v>
      </c>
      <c r="Q157" s="4">
        <f t="shared" si="57"/>
        <v>1095</v>
      </c>
      <c r="R157" s="5">
        <f t="shared" si="58"/>
        <v>-2.3999999999999998E-3</v>
      </c>
      <c r="S157" s="5">
        <f t="shared" si="59"/>
        <v>-7.1999999999999994E-4</v>
      </c>
      <c r="T157" s="5">
        <f t="shared" si="60"/>
        <v>-5.0400000000000002E-3</v>
      </c>
      <c r="U157" s="5">
        <f t="shared" si="61"/>
        <v>-2.1599999999999998E-2</v>
      </c>
      <c r="V157" s="5">
        <f t="shared" si="62"/>
        <v>-0.26279999999999998</v>
      </c>
      <c r="W157" s="5">
        <f t="shared" si="63"/>
        <v>-1.3140000000000001</v>
      </c>
      <c r="X157" s="5">
        <f t="shared" si="64"/>
        <v>-2.6280000000000001</v>
      </c>
      <c r="Y157" s="3" t="s">
        <v>316</v>
      </c>
      <c r="Z157" s="3" t="s">
        <v>15</v>
      </c>
    </row>
    <row r="158" spans="1:26" ht="34.15" customHeight="1" x14ac:dyDescent="0.25">
      <c r="A158" s="3">
        <v>12</v>
      </c>
      <c r="B158" s="3" t="s">
        <v>210</v>
      </c>
      <c r="C158" s="3"/>
      <c r="D158" s="3" t="s">
        <v>139</v>
      </c>
      <c r="E158" s="3" t="s">
        <v>50</v>
      </c>
      <c r="F158" s="3" t="s">
        <v>222</v>
      </c>
      <c r="G158" s="4">
        <v>-15</v>
      </c>
      <c r="H158" s="3" t="s">
        <v>285</v>
      </c>
      <c r="I158" s="4">
        <v>1</v>
      </c>
      <c r="J158" s="5">
        <v>0.02</v>
      </c>
      <c r="K158" s="4">
        <f>1</f>
        <v>1</v>
      </c>
      <c r="L158" s="4">
        <f t="shared" si="52"/>
        <v>1</v>
      </c>
      <c r="M158" s="4">
        <f t="shared" si="53"/>
        <v>7</v>
      </c>
      <c r="N158" s="4">
        <f t="shared" si="54"/>
        <v>30</v>
      </c>
      <c r="O158" s="4">
        <f t="shared" si="55"/>
        <v>365</v>
      </c>
      <c r="P158" s="4">
        <f t="shared" si="56"/>
        <v>1825</v>
      </c>
      <c r="Q158" s="4">
        <f t="shared" si="57"/>
        <v>3650</v>
      </c>
      <c r="R158" s="5">
        <f t="shared" si="58"/>
        <v>-3.0000000000000001E-3</v>
      </c>
      <c r="S158" s="5">
        <f t="shared" si="59"/>
        <v>-3.0000000000000001E-3</v>
      </c>
      <c r="T158" s="5">
        <f t="shared" si="60"/>
        <v>-2.1000000000000001E-2</v>
      </c>
      <c r="U158" s="5">
        <f t="shared" si="61"/>
        <v>-0.09</v>
      </c>
      <c r="V158" s="5">
        <f t="shared" si="62"/>
        <v>-1.095</v>
      </c>
      <c r="W158" s="5">
        <f t="shared" si="63"/>
        <v>-5.4749999999999996</v>
      </c>
      <c r="X158" s="5">
        <f t="shared" si="64"/>
        <v>-10.95</v>
      </c>
      <c r="Y158" s="3" t="s">
        <v>318</v>
      </c>
      <c r="Z158" s="3" t="s">
        <v>15</v>
      </c>
    </row>
    <row r="159" spans="1:26" ht="34.15" customHeight="1" x14ac:dyDescent="0.25">
      <c r="A159" s="3">
        <v>13</v>
      </c>
      <c r="B159" s="3" t="s">
        <v>210</v>
      </c>
      <c r="C159" s="3"/>
      <c r="D159" s="3" t="s">
        <v>139</v>
      </c>
      <c r="E159" s="3" t="s">
        <v>50</v>
      </c>
      <c r="F159" s="3" t="s">
        <v>223</v>
      </c>
      <c r="G159" s="4">
        <v>-20</v>
      </c>
      <c r="H159" s="3" t="s">
        <v>285</v>
      </c>
      <c r="I159" s="4">
        <v>0.3</v>
      </c>
      <c r="J159" s="5">
        <v>0.02</v>
      </c>
      <c r="K159" s="4">
        <f>1</f>
        <v>1</v>
      </c>
      <c r="L159" s="4">
        <f t="shared" si="52"/>
        <v>0.3</v>
      </c>
      <c r="M159" s="4">
        <f t="shared" si="53"/>
        <v>2.1</v>
      </c>
      <c r="N159" s="4">
        <f t="shared" si="54"/>
        <v>9</v>
      </c>
      <c r="O159" s="4">
        <f t="shared" si="55"/>
        <v>109.5</v>
      </c>
      <c r="P159" s="4">
        <f t="shared" si="56"/>
        <v>547.5</v>
      </c>
      <c r="Q159" s="4">
        <f t="shared" si="57"/>
        <v>1095</v>
      </c>
      <c r="R159" s="5">
        <f t="shared" si="58"/>
        <v>-4.0000000000000001E-3</v>
      </c>
      <c r="S159" s="5">
        <f t="shared" si="59"/>
        <v>-1.2000000000000001E-3</v>
      </c>
      <c r="T159" s="5">
        <f t="shared" si="60"/>
        <v>-8.4000000000000012E-3</v>
      </c>
      <c r="U159" s="5">
        <f t="shared" si="61"/>
        <v>-3.5999999999999997E-2</v>
      </c>
      <c r="V159" s="5">
        <f t="shared" si="62"/>
        <v>-0.438</v>
      </c>
      <c r="W159" s="5">
        <f t="shared" si="63"/>
        <v>-2.1900000000000004</v>
      </c>
      <c r="X159" s="5">
        <f t="shared" si="64"/>
        <v>-4.3800000000000008</v>
      </c>
      <c r="Y159" s="3" t="s">
        <v>316</v>
      </c>
      <c r="Z159" s="3" t="s">
        <v>15</v>
      </c>
    </row>
    <row r="160" spans="1:26" ht="34.15" customHeight="1" x14ac:dyDescent="0.25">
      <c r="A160" s="3">
        <v>14</v>
      </c>
      <c r="B160" s="3" t="s">
        <v>210</v>
      </c>
      <c r="C160" s="3"/>
      <c r="D160" s="3" t="s">
        <v>139</v>
      </c>
      <c r="E160" s="3" t="s">
        <v>81</v>
      </c>
      <c r="F160" s="3" t="s">
        <v>224</v>
      </c>
      <c r="G160" s="4">
        <v>5.04</v>
      </c>
      <c r="H160" s="3" t="s">
        <v>285</v>
      </c>
      <c r="I160" s="4">
        <v>120</v>
      </c>
      <c r="J160" s="5">
        <v>3.0000000000000001E-3</v>
      </c>
      <c r="K160" s="4">
        <f>1</f>
        <v>1</v>
      </c>
      <c r="L160" s="4">
        <f t="shared" si="52"/>
        <v>120</v>
      </c>
      <c r="M160" s="4">
        <f t="shared" si="53"/>
        <v>840</v>
      </c>
      <c r="N160" s="4">
        <f t="shared" si="54"/>
        <v>3600</v>
      </c>
      <c r="O160" s="4">
        <f t="shared" si="55"/>
        <v>43800</v>
      </c>
      <c r="P160" s="4">
        <f t="shared" si="56"/>
        <v>219000</v>
      </c>
      <c r="Q160" s="4">
        <f t="shared" si="57"/>
        <v>438000</v>
      </c>
      <c r="R160" s="5">
        <f t="shared" si="58"/>
        <v>1.5120000000000002E-4</v>
      </c>
      <c r="S160" s="5">
        <f t="shared" si="59"/>
        <v>1.8144E-2</v>
      </c>
      <c r="T160" s="5">
        <f t="shared" si="60"/>
        <v>0.12700800000000001</v>
      </c>
      <c r="U160" s="5">
        <f t="shared" si="61"/>
        <v>0.54432000000000003</v>
      </c>
      <c r="V160" s="5">
        <f t="shared" si="62"/>
        <v>6.62256</v>
      </c>
      <c r="W160" s="5">
        <f t="shared" si="63"/>
        <v>33.1128</v>
      </c>
      <c r="X160" s="5">
        <f t="shared" si="64"/>
        <v>66.2256</v>
      </c>
      <c r="Y160" s="3" t="s">
        <v>315</v>
      </c>
      <c r="Z160" s="3" t="s">
        <v>15</v>
      </c>
    </row>
    <row r="161" spans="1:26" ht="34.15" customHeight="1" x14ac:dyDescent="0.25">
      <c r="A161" s="3">
        <v>1</v>
      </c>
      <c r="B161" s="3" t="s">
        <v>225</v>
      </c>
      <c r="C161" s="3"/>
      <c r="D161" s="3" t="s">
        <v>139</v>
      </c>
      <c r="E161" s="3" t="s">
        <v>50</v>
      </c>
      <c r="F161" s="3" t="s">
        <v>226</v>
      </c>
      <c r="G161" s="4">
        <v>-3</v>
      </c>
      <c r="H161" s="3" t="s">
        <v>285</v>
      </c>
      <c r="I161" s="4">
        <v>0.3</v>
      </c>
      <c r="J161" s="5">
        <v>0.03</v>
      </c>
      <c r="K161" s="4">
        <f>1</f>
        <v>1</v>
      </c>
      <c r="L161" s="4">
        <f t="shared" si="52"/>
        <v>0.3</v>
      </c>
      <c r="M161" s="4">
        <f t="shared" si="53"/>
        <v>2.1</v>
      </c>
      <c r="N161" s="4">
        <f t="shared" si="54"/>
        <v>9</v>
      </c>
      <c r="O161" s="4">
        <f t="shared" si="55"/>
        <v>109.5</v>
      </c>
      <c r="P161" s="4">
        <f t="shared" si="56"/>
        <v>547.5</v>
      </c>
      <c r="Q161" s="4">
        <f t="shared" si="57"/>
        <v>1095</v>
      </c>
      <c r="R161" s="5">
        <f t="shared" si="58"/>
        <v>-8.9999999999999998E-4</v>
      </c>
      <c r="S161" s="5">
        <f t="shared" si="59"/>
        <v>-2.6999999999999995E-4</v>
      </c>
      <c r="T161" s="5">
        <f t="shared" si="60"/>
        <v>-1.89E-3</v>
      </c>
      <c r="U161" s="5">
        <f t="shared" si="61"/>
        <v>-8.0999999999999996E-3</v>
      </c>
      <c r="V161" s="5">
        <f t="shared" si="62"/>
        <v>-9.8549999999999985E-2</v>
      </c>
      <c r="W161" s="5">
        <f t="shared" si="63"/>
        <v>-0.49275000000000002</v>
      </c>
      <c r="X161" s="5">
        <f t="shared" si="64"/>
        <v>-0.98550000000000004</v>
      </c>
      <c r="Y161" s="3" t="s">
        <v>319</v>
      </c>
      <c r="Z161" s="3" t="s">
        <v>15</v>
      </c>
    </row>
    <row r="162" spans="1:26" ht="34.15" customHeight="1" x14ac:dyDescent="0.25">
      <c r="A162" s="3">
        <v>2</v>
      </c>
      <c r="B162" s="3" t="s">
        <v>225</v>
      </c>
      <c r="C162" s="3"/>
      <c r="D162" s="3" t="s">
        <v>139</v>
      </c>
      <c r="E162" s="3" t="s">
        <v>50</v>
      </c>
      <c r="F162" s="3" t="s">
        <v>227</v>
      </c>
      <c r="G162" s="4">
        <v>-3</v>
      </c>
      <c r="H162" s="3" t="s">
        <v>285</v>
      </c>
      <c r="I162" s="4">
        <v>0.3</v>
      </c>
      <c r="J162" s="5">
        <v>0.03</v>
      </c>
      <c r="K162" s="4">
        <f>1</f>
        <v>1</v>
      </c>
      <c r="L162" s="4">
        <f t="shared" ref="L162:L181" si="65">I162</f>
        <v>0.3</v>
      </c>
      <c r="M162" s="4">
        <f t="shared" ref="M162:M181" si="66">I162*7</f>
        <v>2.1</v>
      </c>
      <c r="N162" s="4">
        <f t="shared" ref="N162:N181" si="67">I162*30</f>
        <v>9</v>
      </c>
      <c r="O162" s="4">
        <f t="shared" ref="O162:O181" si="68">I162*365</f>
        <v>109.5</v>
      </c>
      <c r="P162" s="4">
        <f t="shared" ref="P162:P181" si="69">I162*1825</f>
        <v>547.5</v>
      </c>
      <c r="Q162" s="4">
        <f t="shared" ref="Q162:Q181" si="70">I162*3650</f>
        <v>1095</v>
      </c>
      <c r="R162" s="5">
        <f t="shared" ref="R162:R181" si="71">IF(D162="Linear",K162*J162*(G162/100),IF(I162&gt;0,(1+((G162/100)*J162))^(1/(I162*365))-1,0))</f>
        <v>-8.9999999999999998E-4</v>
      </c>
      <c r="S162" s="5">
        <f t="shared" ref="S162:S181" si="72">IF(D162="Linear",L162*J162*(G162/100),(1+((G162/100)*J162))^(1/365)-1)</f>
        <v>-2.6999999999999995E-4</v>
      </c>
      <c r="T162" s="5">
        <f t="shared" ref="T162:T181" si="73">IF(D162="Linear",M162*J162*(G162/100),(1+((G162/100)*J162))^(7/365)-1)</f>
        <v>-1.89E-3</v>
      </c>
      <c r="U162" s="5">
        <f t="shared" ref="U162:U181" si="74">IF(D162="Linear",N162*J162*(G162/100),(1+((G162/100)*J162))^(30/365)-1)</f>
        <v>-8.0999999999999996E-3</v>
      </c>
      <c r="V162" s="5">
        <f t="shared" ref="V162:V181" si="75">IF(D162="Linear",O162*J162*(G162/100),(1+((G162/100)*J162))-1)</f>
        <v>-9.8549999999999985E-2</v>
      </c>
      <c r="W162" s="5">
        <f t="shared" ref="W162:W181" si="76">IF(D162="Linear",P162*J162*(G162/100),(1+((G162/100)*J162))^5-1)</f>
        <v>-0.49275000000000002</v>
      </c>
      <c r="X162" s="5">
        <f t="shared" ref="X162:X181" si="77">IF(D162="Linear",Q162*J162*(G162/100),(1+((G162/100)*J162))^10-1)</f>
        <v>-0.98550000000000004</v>
      </c>
      <c r="Y162" s="3" t="s">
        <v>319</v>
      </c>
      <c r="Z162" s="3" t="s">
        <v>15</v>
      </c>
    </row>
    <row r="163" spans="1:26" ht="34.15" customHeight="1" x14ac:dyDescent="0.25">
      <c r="A163" s="3">
        <v>3</v>
      </c>
      <c r="B163" s="3" t="s">
        <v>225</v>
      </c>
      <c r="C163" s="3"/>
      <c r="D163" s="3" t="s">
        <v>139</v>
      </c>
      <c r="E163" s="3" t="s">
        <v>50</v>
      </c>
      <c r="F163" s="3" t="s">
        <v>228</v>
      </c>
      <c r="G163" s="4">
        <v>-3.5</v>
      </c>
      <c r="H163" s="3" t="s">
        <v>285</v>
      </c>
      <c r="I163" s="4">
        <v>0.05</v>
      </c>
      <c r="J163" s="5">
        <v>0.03</v>
      </c>
      <c r="K163" s="4">
        <f>1</f>
        <v>1</v>
      </c>
      <c r="L163" s="4">
        <f t="shared" si="65"/>
        <v>0.05</v>
      </c>
      <c r="M163" s="4">
        <f t="shared" si="66"/>
        <v>0.35000000000000003</v>
      </c>
      <c r="N163" s="4">
        <f t="shared" si="67"/>
        <v>1.5</v>
      </c>
      <c r="O163" s="4">
        <f t="shared" si="68"/>
        <v>18.25</v>
      </c>
      <c r="P163" s="4">
        <f t="shared" si="69"/>
        <v>91.25</v>
      </c>
      <c r="Q163" s="4">
        <f t="shared" si="70"/>
        <v>182.5</v>
      </c>
      <c r="R163" s="5">
        <f t="shared" si="71"/>
        <v>-1.0500000000000002E-3</v>
      </c>
      <c r="S163" s="5">
        <f t="shared" si="72"/>
        <v>-5.2500000000000009E-5</v>
      </c>
      <c r="T163" s="5">
        <f t="shared" si="73"/>
        <v>-3.6750000000000004E-4</v>
      </c>
      <c r="U163" s="5">
        <f t="shared" si="74"/>
        <v>-1.575E-3</v>
      </c>
      <c r="V163" s="5">
        <f t="shared" si="75"/>
        <v>-1.9162500000000002E-2</v>
      </c>
      <c r="W163" s="5">
        <f t="shared" si="76"/>
        <v>-9.5812500000000009E-2</v>
      </c>
      <c r="X163" s="5">
        <f t="shared" si="77"/>
        <v>-0.19162500000000002</v>
      </c>
      <c r="Y163" s="3" t="s">
        <v>320</v>
      </c>
      <c r="Z163" s="3" t="s">
        <v>15</v>
      </c>
    </row>
    <row r="164" spans="1:26" ht="34.15" customHeight="1" x14ac:dyDescent="0.25">
      <c r="A164" s="3">
        <v>4</v>
      </c>
      <c r="B164" s="3" t="s">
        <v>225</v>
      </c>
      <c r="C164" s="3"/>
      <c r="D164" s="3" t="s">
        <v>139</v>
      </c>
      <c r="E164" s="3" t="s">
        <v>50</v>
      </c>
      <c r="F164" s="3" t="s">
        <v>229</v>
      </c>
      <c r="G164" s="4">
        <v>-4</v>
      </c>
      <c r="H164" s="3" t="s">
        <v>285</v>
      </c>
      <c r="I164" s="4">
        <v>0.3</v>
      </c>
      <c r="J164" s="5">
        <v>0.03</v>
      </c>
      <c r="K164" s="4">
        <f>1</f>
        <v>1</v>
      </c>
      <c r="L164" s="4">
        <f t="shared" si="65"/>
        <v>0.3</v>
      </c>
      <c r="M164" s="4">
        <f t="shared" si="66"/>
        <v>2.1</v>
      </c>
      <c r="N164" s="4">
        <f t="shared" si="67"/>
        <v>9</v>
      </c>
      <c r="O164" s="4">
        <f t="shared" si="68"/>
        <v>109.5</v>
      </c>
      <c r="P164" s="4">
        <f t="shared" si="69"/>
        <v>547.5</v>
      </c>
      <c r="Q164" s="4">
        <f t="shared" si="70"/>
        <v>1095</v>
      </c>
      <c r="R164" s="5">
        <f t="shared" si="71"/>
        <v>-1.1999999999999999E-3</v>
      </c>
      <c r="S164" s="5">
        <f t="shared" si="72"/>
        <v>-3.5999999999999997E-4</v>
      </c>
      <c r="T164" s="5">
        <f t="shared" si="73"/>
        <v>-2.5200000000000001E-3</v>
      </c>
      <c r="U164" s="5">
        <f t="shared" si="74"/>
        <v>-1.0800000000000001E-2</v>
      </c>
      <c r="V164" s="5">
        <f t="shared" si="75"/>
        <v>-0.13139999999999999</v>
      </c>
      <c r="W164" s="5">
        <f t="shared" si="76"/>
        <v>-0.65700000000000003</v>
      </c>
      <c r="X164" s="5">
        <f t="shared" si="77"/>
        <v>-1.3140000000000001</v>
      </c>
      <c r="Y164" s="3" t="s">
        <v>319</v>
      </c>
      <c r="Z164" s="3" t="s">
        <v>15</v>
      </c>
    </row>
    <row r="165" spans="1:26" ht="34.15" customHeight="1" x14ac:dyDescent="0.25">
      <c r="A165" s="3">
        <v>5</v>
      </c>
      <c r="B165" s="3" t="s">
        <v>225</v>
      </c>
      <c r="C165" s="3"/>
      <c r="D165" s="3" t="s">
        <v>139</v>
      </c>
      <c r="E165" s="3" t="s">
        <v>50</v>
      </c>
      <c r="F165" s="3" t="s">
        <v>230</v>
      </c>
      <c r="G165" s="4">
        <v>-4</v>
      </c>
      <c r="H165" s="3" t="s">
        <v>285</v>
      </c>
      <c r="I165" s="4">
        <v>0.3</v>
      </c>
      <c r="J165" s="5">
        <v>0.03</v>
      </c>
      <c r="K165" s="4">
        <f>1</f>
        <v>1</v>
      </c>
      <c r="L165" s="4">
        <f t="shared" si="65"/>
        <v>0.3</v>
      </c>
      <c r="M165" s="4">
        <f t="shared" si="66"/>
        <v>2.1</v>
      </c>
      <c r="N165" s="4">
        <f t="shared" si="67"/>
        <v>9</v>
      </c>
      <c r="O165" s="4">
        <f t="shared" si="68"/>
        <v>109.5</v>
      </c>
      <c r="P165" s="4">
        <f t="shared" si="69"/>
        <v>547.5</v>
      </c>
      <c r="Q165" s="4">
        <f t="shared" si="70"/>
        <v>1095</v>
      </c>
      <c r="R165" s="5">
        <f t="shared" si="71"/>
        <v>-1.1999999999999999E-3</v>
      </c>
      <c r="S165" s="5">
        <f t="shared" si="72"/>
        <v>-3.5999999999999997E-4</v>
      </c>
      <c r="T165" s="5">
        <f t="shared" si="73"/>
        <v>-2.5200000000000001E-3</v>
      </c>
      <c r="U165" s="5">
        <f t="shared" si="74"/>
        <v>-1.0800000000000001E-2</v>
      </c>
      <c r="V165" s="5">
        <f t="shared" si="75"/>
        <v>-0.13139999999999999</v>
      </c>
      <c r="W165" s="5">
        <f t="shared" si="76"/>
        <v>-0.65700000000000003</v>
      </c>
      <c r="X165" s="5">
        <f t="shared" si="77"/>
        <v>-1.3140000000000001</v>
      </c>
      <c r="Y165" s="3" t="s">
        <v>319</v>
      </c>
      <c r="Z165" s="3" t="s">
        <v>15</v>
      </c>
    </row>
    <row r="166" spans="1:26" ht="34.15" customHeight="1" x14ac:dyDescent="0.25">
      <c r="A166" s="3">
        <v>6</v>
      </c>
      <c r="B166" s="3" t="s">
        <v>225</v>
      </c>
      <c r="C166" s="3"/>
      <c r="D166" s="3" t="s">
        <v>139</v>
      </c>
      <c r="E166" s="3" t="s">
        <v>50</v>
      </c>
      <c r="F166" s="3" t="s">
        <v>231</v>
      </c>
      <c r="G166" s="4">
        <v>-4.5</v>
      </c>
      <c r="H166" s="3" t="s">
        <v>285</v>
      </c>
      <c r="I166" s="4">
        <v>0.3</v>
      </c>
      <c r="J166" s="5">
        <v>0.03</v>
      </c>
      <c r="K166" s="4">
        <f>1</f>
        <v>1</v>
      </c>
      <c r="L166" s="4">
        <f t="shared" si="65"/>
        <v>0.3</v>
      </c>
      <c r="M166" s="4">
        <f t="shared" si="66"/>
        <v>2.1</v>
      </c>
      <c r="N166" s="4">
        <f t="shared" si="67"/>
        <v>9</v>
      </c>
      <c r="O166" s="4">
        <f t="shared" si="68"/>
        <v>109.5</v>
      </c>
      <c r="P166" s="4">
        <f t="shared" si="69"/>
        <v>547.5</v>
      </c>
      <c r="Q166" s="4">
        <f t="shared" si="70"/>
        <v>1095</v>
      </c>
      <c r="R166" s="5">
        <f t="shared" si="71"/>
        <v>-1.3499999999999999E-3</v>
      </c>
      <c r="S166" s="5">
        <f t="shared" si="72"/>
        <v>-4.0499999999999998E-4</v>
      </c>
      <c r="T166" s="5">
        <f t="shared" si="73"/>
        <v>-2.8349999999999998E-3</v>
      </c>
      <c r="U166" s="5">
        <f t="shared" si="74"/>
        <v>-1.2150000000000001E-2</v>
      </c>
      <c r="V166" s="5">
        <f t="shared" si="75"/>
        <v>-0.14782499999999998</v>
      </c>
      <c r="W166" s="5">
        <f t="shared" si="76"/>
        <v>-0.73912500000000003</v>
      </c>
      <c r="X166" s="5">
        <f t="shared" si="77"/>
        <v>-1.4782500000000001</v>
      </c>
      <c r="Y166" s="3" t="s">
        <v>319</v>
      </c>
      <c r="Z166" s="3" t="s">
        <v>15</v>
      </c>
    </row>
    <row r="167" spans="1:26" ht="34.15" customHeight="1" x14ac:dyDescent="0.25">
      <c r="A167" s="3">
        <v>7</v>
      </c>
      <c r="B167" s="3" t="s">
        <v>225</v>
      </c>
      <c r="C167" s="3"/>
      <c r="D167" s="3" t="s">
        <v>139</v>
      </c>
      <c r="E167" s="3" t="s">
        <v>50</v>
      </c>
      <c r="F167" s="3" t="s">
        <v>232</v>
      </c>
      <c r="G167" s="4">
        <v>-5</v>
      </c>
      <c r="H167" s="3" t="s">
        <v>285</v>
      </c>
      <c r="I167" s="4">
        <v>1.5</v>
      </c>
      <c r="J167" s="5">
        <v>0.03</v>
      </c>
      <c r="K167" s="4">
        <f>1</f>
        <v>1</v>
      </c>
      <c r="L167" s="4">
        <f t="shared" si="65"/>
        <v>1.5</v>
      </c>
      <c r="M167" s="4">
        <f t="shared" si="66"/>
        <v>10.5</v>
      </c>
      <c r="N167" s="4">
        <f t="shared" si="67"/>
        <v>45</v>
      </c>
      <c r="O167" s="4">
        <f t="shared" si="68"/>
        <v>547.5</v>
      </c>
      <c r="P167" s="4">
        <f t="shared" si="69"/>
        <v>2737.5</v>
      </c>
      <c r="Q167" s="4">
        <f t="shared" si="70"/>
        <v>5475</v>
      </c>
      <c r="R167" s="5">
        <f t="shared" si="71"/>
        <v>-1.5E-3</v>
      </c>
      <c r="S167" s="5">
        <f t="shared" si="72"/>
        <v>-2.2499999999999998E-3</v>
      </c>
      <c r="T167" s="5">
        <f t="shared" si="73"/>
        <v>-1.575E-2</v>
      </c>
      <c r="U167" s="5">
        <f t="shared" si="74"/>
        <v>-6.7499999999999991E-2</v>
      </c>
      <c r="V167" s="5">
        <f t="shared" si="75"/>
        <v>-0.82125000000000004</v>
      </c>
      <c r="W167" s="5">
        <f t="shared" si="76"/>
        <v>-4.1062500000000002</v>
      </c>
      <c r="X167" s="5">
        <f t="shared" si="77"/>
        <v>-8.2125000000000004</v>
      </c>
      <c r="Y167" s="3" t="s">
        <v>321</v>
      </c>
      <c r="Z167" s="3" t="s">
        <v>15</v>
      </c>
    </row>
    <row r="168" spans="1:26" ht="34.15" customHeight="1" x14ac:dyDescent="0.25">
      <c r="A168" s="3">
        <v>8</v>
      </c>
      <c r="B168" s="3" t="s">
        <v>225</v>
      </c>
      <c r="C168" s="3"/>
      <c r="D168" s="3" t="s">
        <v>139</v>
      </c>
      <c r="E168" s="3" t="s">
        <v>50</v>
      </c>
      <c r="F168" s="3" t="s">
        <v>233</v>
      </c>
      <c r="G168" s="4">
        <v>-5.5</v>
      </c>
      <c r="H168" s="3" t="s">
        <v>285</v>
      </c>
      <c r="I168" s="4">
        <v>0.3</v>
      </c>
      <c r="J168" s="5">
        <v>0.03</v>
      </c>
      <c r="K168" s="4">
        <f>1</f>
        <v>1</v>
      </c>
      <c r="L168" s="4">
        <f t="shared" si="65"/>
        <v>0.3</v>
      </c>
      <c r="M168" s="4">
        <f t="shared" si="66"/>
        <v>2.1</v>
      </c>
      <c r="N168" s="4">
        <f t="shared" si="67"/>
        <v>9</v>
      </c>
      <c r="O168" s="4">
        <f t="shared" si="68"/>
        <v>109.5</v>
      </c>
      <c r="P168" s="4">
        <f t="shared" si="69"/>
        <v>547.5</v>
      </c>
      <c r="Q168" s="4">
        <f t="shared" si="70"/>
        <v>1095</v>
      </c>
      <c r="R168" s="5">
        <f t="shared" si="71"/>
        <v>-1.65E-3</v>
      </c>
      <c r="S168" s="5">
        <f t="shared" si="72"/>
        <v>-4.95E-4</v>
      </c>
      <c r="T168" s="5">
        <f t="shared" si="73"/>
        <v>-3.4650000000000002E-3</v>
      </c>
      <c r="U168" s="5">
        <f t="shared" si="74"/>
        <v>-1.485E-2</v>
      </c>
      <c r="V168" s="5">
        <f t="shared" si="75"/>
        <v>-0.18067499999999997</v>
      </c>
      <c r="W168" s="5">
        <f t="shared" si="76"/>
        <v>-0.90337500000000004</v>
      </c>
      <c r="X168" s="5">
        <f t="shared" si="77"/>
        <v>-1.8067500000000001</v>
      </c>
      <c r="Y168" s="3" t="s">
        <v>319</v>
      </c>
      <c r="Z168" s="3" t="s">
        <v>15</v>
      </c>
    </row>
    <row r="169" spans="1:26" ht="34.15" customHeight="1" x14ac:dyDescent="0.25">
      <c r="A169" s="3">
        <v>9</v>
      </c>
      <c r="B169" s="3" t="s">
        <v>225</v>
      </c>
      <c r="C169" s="3"/>
      <c r="D169" s="3" t="s">
        <v>139</v>
      </c>
      <c r="E169" s="3" t="s">
        <v>50</v>
      </c>
      <c r="F169" s="3" t="s">
        <v>234</v>
      </c>
      <c r="G169" s="4">
        <v>-5.5</v>
      </c>
      <c r="H169" s="3" t="s">
        <v>285</v>
      </c>
      <c r="I169" s="4">
        <v>0.3</v>
      </c>
      <c r="J169" s="5">
        <v>0.03</v>
      </c>
      <c r="K169" s="4">
        <f>1</f>
        <v>1</v>
      </c>
      <c r="L169" s="4">
        <f t="shared" si="65"/>
        <v>0.3</v>
      </c>
      <c r="M169" s="4">
        <f t="shared" si="66"/>
        <v>2.1</v>
      </c>
      <c r="N169" s="4">
        <f t="shared" si="67"/>
        <v>9</v>
      </c>
      <c r="O169" s="4">
        <f t="shared" si="68"/>
        <v>109.5</v>
      </c>
      <c r="P169" s="4">
        <f t="shared" si="69"/>
        <v>547.5</v>
      </c>
      <c r="Q169" s="4">
        <f t="shared" si="70"/>
        <v>1095</v>
      </c>
      <c r="R169" s="5">
        <f t="shared" si="71"/>
        <v>-1.65E-3</v>
      </c>
      <c r="S169" s="5">
        <f t="shared" si="72"/>
        <v>-4.95E-4</v>
      </c>
      <c r="T169" s="5">
        <f t="shared" si="73"/>
        <v>-3.4650000000000002E-3</v>
      </c>
      <c r="U169" s="5">
        <f t="shared" si="74"/>
        <v>-1.485E-2</v>
      </c>
      <c r="V169" s="5">
        <f t="shared" si="75"/>
        <v>-0.18067499999999997</v>
      </c>
      <c r="W169" s="5">
        <f t="shared" si="76"/>
        <v>-0.90337500000000004</v>
      </c>
      <c r="X169" s="5">
        <f t="shared" si="77"/>
        <v>-1.8067500000000001</v>
      </c>
      <c r="Y169" s="3" t="s">
        <v>319</v>
      </c>
      <c r="Z169" s="3" t="s">
        <v>15</v>
      </c>
    </row>
    <row r="170" spans="1:26" ht="34.15" customHeight="1" x14ac:dyDescent="0.25">
      <c r="A170" s="3">
        <v>10</v>
      </c>
      <c r="B170" s="3" t="s">
        <v>225</v>
      </c>
      <c r="C170" s="3"/>
      <c r="D170" s="3" t="s">
        <v>139</v>
      </c>
      <c r="E170" s="3" t="s">
        <v>50</v>
      </c>
      <c r="F170" s="3" t="s">
        <v>235</v>
      </c>
      <c r="G170" s="4">
        <v>-6</v>
      </c>
      <c r="H170" s="3" t="s">
        <v>285</v>
      </c>
      <c r="I170" s="4">
        <v>0.3</v>
      </c>
      <c r="J170" s="5">
        <v>0.03</v>
      </c>
      <c r="K170" s="4">
        <f>1</f>
        <v>1</v>
      </c>
      <c r="L170" s="4">
        <f t="shared" si="65"/>
        <v>0.3</v>
      </c>
      <c r="M170" s="4">
        <f t="shared" si="66"/>
        <v>2.1</v>
      </c>
      <c r="N170" s="4">
        <f t="shared" si="67"/>
        <v>9</v>
      </c>
      <c r="O170" s="4">
        <f t="shared" si="68"/>
        <v>109.5</v>
      </c>
      <c r="P170" s="4">
        <f t="shared" si="69"/>
        <v>547.5</v>
      </c>
      <c r="Q170" s="4">
        <f t="shared" si="70"/>
        <v>1095</v>
      </c>
      <c r="R170" s="5">
        <f t="shared" si="71"/>
        <v>-1.8E-3</v>
      </c>
      <c r="S170" s="5">
        <f t="shared" si="72"/>
        <v>-5.399999999999999E-4</v>
      </c>
      <c r="T170" s="5">
        <f t="shared" si="73"/>
        <v>-3.7799999999999999E-3</v>
      </c>
      <c r="U170" s="5">
        <f t="shared" si="74"/>
        <v>-1.6199999999999999E-2</v>
      </c>
      <c r="V170" s="5">
        <f t="shared" si="75"/>
        <v>-0.19709999999999997</v>
      </c>
      <c r="W170" s="5">
        <f t="shared" si="76"/>
        <v>-0.98550000000000004</v>
      </c>
      <c r="X170" s="5">
        <f t="shared" si="77"/>
        <v>-1.9710000000000001</v>
      </c>
      <c r="Y170" s="3" t="s">
        <v>319</v>
      </c>
      <c r="Z170" s="3" t="s">
        <v>15</v>
      </c>
    </row>
    <row r="171" spans="1:26" ht="34.15" customHeight="1" x14ac:dyDescent="0.25">
      <c r="A171" s="3">
        <v>11</v>
      </c>
      <c r="B171" s="3" t="s">
        <v>225</v>
      </c>
      <c r="C171" s="3"/>
      <c r="D171" s="3" t="s">
        <v>139</v>
      </c>
      <c r="E171" s="3" t="s">
        <v>50</v>
      </c>
      <c r="F171" s="3" t="s">
        <v>236</v>
      </c>
      <c r="G171" s="4">
        <v>-7</v>
      </c>
      <c r="H171" s="3" t="s">
        <v>285</v>
      </c>
      <c r="I171" s="4">
        <v>0.5</v>
      </c>
      <c r="J171" s="5">
        <v>0.03</v>
      </c>
      <c r="K171" s="4">
        <f>1</f>
        <v>1</v>
      </c>
      <c r="L171" s="4">
        <f t="shared" si="65"/>
        <v>0.5</v>
      </c>
      <c r="M171" s="4">
        <f t="shared" si="66"/>
        <v>3.5</v>
      </c>
      <c r="N171" s="4">
        <f t="shared" si="67"/>
        <v>15</v>
      </c>
      <c r="O171" s="4">
        <f t="shared" si="68"/>
        <v>182.5</v>
      </c>
      <c r="P171" s="4">
        <f t="shared" si="69"/>
        <v>912.5</v>
      </c>
      <c r="Q171" s="4">
        <f t="shared" si="70"/>
        <v>1825</v>
      </c>
      <c r="R171" s="5">
        <f t="shared" si="71"/>
        <v>-2.1000000000000003E-3</v>
      </c>
      <c r="S171" s="5">
        <f t="shared" si="72"/>
        <v>-1.0500000000000002E-3</v>
      </c>
      <c r="T171" s="5">
        <f t="shared" si="73"/>
        <v>-7.3500000000000006E-3</v>
      </c>
      <c r="U171" s="5">
        <f t="shared" si="74"/>
        <v>-3.15E-2</v>
      </c>
      <c r="V171" s="5">
        <f t="shared" si="75"/>
        <v>-0.38325000000000004</v>
      </c>
      <c r="W171" s="5">
        <f t="shared" si="76"/>
        <v>-1.9162500000000002</v>
      </c>
      <c r="X171" s="5">
        <f t="shared" si="77"/>
        <v>-3.8325000000000005</v>
      </c>
      <c r="Y171" s="3" t="s">
        <v>322</v>
      </c>
      <c r="Z171" s="3" t="s">
        <v>15</v>
      </c>
    </row>
    <row r="172" spans="1:26" ht="34.15" customHeight="1" x14ac:dyDescent="0.25">
      <c r="A172" s="3">
        <v>12</v>
      </c>
      <c r="B172" s="3" t="s">
        <v>225</v>
      </c>
      <c r="C172" s="3"/>
      <c r="D172" s="3" t="s">
        <v>139</v>
      </c>
      <c r="E172" s="3" t="s">
        <v>50</v>
      </c>
      <c r="F172" s="3" t="s">
        <v>237</v>
      </c>
      <c r="G172" s="4">
        <v>-10</v>
      </c>
      <c r="H172" s="3" t="s">
        <v>285</v>
      </c>
      <c r="I172" s="4">
        <v>0.3</v>
      </c>
      <c r="J172" s="5">
        <v>0.03</v>
      </c>
      <c r="K172" s="4">
        <f>1</f>
        <v>1</v>
      </c>
      <c r="L172" s="4">
        <f t="shared" si="65"/>
        <v>0.3</v>
      </c>
      <c r="M172" s="4">
        <f t="shared" si="66"/>
        <v>2.1</v>
      </c>
      <c r="N172" s="4">
        <f t="shared" si="67"/>
        <v>9</v>
      </c>
      <c r="O172" s="4">
        <f t="shared" si="68"/>
        <v>109.5</v>
      </c>
      <c r="P172" s="4">
        <f t="shared" si="69"/>
        <v>547.5</v>
      </c>
      <c r="Q172" s="4">
        <f t="shared" si="70"/>
        <v>1095</v>
      </c>
      <c r="R172" s="5">
        <f t="shared" si="71"/>
        <v>-3.0000000000000001E-3</v>
      </c>
      <c r="S172" s="5">
        <f t="shared" si="72"/>
        <v>-8.9999999999999998E-4</v>
      </c>
      <c r="T172" s="5">
        <f t="shared" si="73"/>
        <v>-6.3E-3</v>
      </c>
      <c r="U172" s="5">
        <f t="shared" si="74"/>
        <v>-2.7000000000000003E-2</v>
      </c>
      <c r="V172" s="5">
        <f t="shared" si="75"/>
        <v>-0.32850000000000001</v>
      </c>
      <c r="W172" s="5">
        <f t="shared" si="76"/>
        <v>-1.6425000000000001</v>
      </c>
      <c r="X172" s="5">
        <f t="shared" si="77"/>
        <v>-3.2850000000000001</v>
      </c>
      <c r="Y172" s="3" t="s">
        <v>319</v>
      </c>
      <c r="Z172" s="3" t="s">
        <v>15</v>
      </c>
    </row>
    <row r="173" spans="1:26" ht="34.15" customHeight="1" x14ac:dyDescent="0.25">
      <c r="A173" s="3">
        <v>1</v>
      </c>
      <c r="B173" s="3" t="s">
        <v>238</v>
      </c>
      <c r="C173" s="3"/>
      <c r="D173" s="3" t="s">
        <v>139</v>
      </c>
      <c r="E173" s="3" t="s">
        <v>50</v>
      </c>
      <c r="F173" s="3" t="s">
        <v>239</v>
      </c>
      <c r="G173" s="4">
        <v>-25</v>
      </c>
      <c r="H173" s="3" t="s">
        <v>285</v>
      </c>
      <c r="I173" s="4">
        <v>0.2</v>
      </c>
      <c r="J173" s="5">
        <v>5.0000000000000001E-3</v>
      </c>
      <c r="K173" s="4">
        <f>1</f>
        <v>1</v>
      </c>
      <c r="L173" s="4">
        <f t="shared" si="65"/>
        <v>0.2</v>
      </c>
      <c r="M173" s="4">
        <f t="shared" si="66"/>
        <v>1.4000000000000001</v>
      </c>
      <c r="N173" s="4">
        <f t="shared" si="67"/>
        <v>6</v>
      </c>
      <c r="O173" s="4">
        <f t="shared" si="68"/>
        <v>73</v>
      </c>
      <c r="P173" s="4">
        <f t="shared" si="69"/>
        <v>365</v>
      </c>
      <c r="Q173" s="4">
        <f t="shared" si="70"/>
        <v>730</v>
      </c>
      <c r="R173" s="5">
        <f t="shared" si="71"/>
        <v>-1.25E-3</v>
      </c>
      <c r="S173" s="5">
        <f t="shared" si="72"/>
        <v>-2.5000000000000001E-4</v>
      </c>
      <c r="T173" s="5">
        <f t="shared" si="73"/>
        <v>-1.7500000000000003E-3</v>
      </c>
      <c r="U173" s="5">
        <f t="shared" si="74"/>
        <v>-7.4999999999999997E-3</v>
      </c>
      <c r="V173" s="5">
        <f t="shared" si="75"/>
        <v>-9.1249999999999998E-2</v>
      </c>
      <c r="W173" s="5">
        <f t="shared" si="76"/>
        <v>-0.45624999999999999</v>
      </c>
      <c r="X173" s="5">
        <f t="shared" si="77"/>
        <v>-0.91249999999999998</v>
      </c>
      <c r="Y173" s="3" t="s">
        <v>323</v>
      </c>
      <c r="Z173" s="3" t="s">
        <v>15</v>
      </c>
    </row>
    <row r="174" spans="1:26" ht="34.15" customHeight="1" x14ac:dyDescent="0.25">
      <c r="A174" s="3">
        <v>2</v>
      </c>
      <c r="B174" s="3" t="s">
        <v>238</v>
      </c>
      <c r="C174" s="3"/>
      <c r="D174" s="3" t="s">
        <v>139</v>
      </c>
      <c r="E174" s="3" t="s">
        <v>50</v>
      </c>
      <c r="F174" s="3" t="s">
        <v>240</v>
      </c>
      <c r="G174" s="4">
        <v>-30</v>
      </c>
      <c r="H174" s="3" t="s">
        <v>285</v>
      </c>
      <c r="I174" s="4">
        <v>0.2</v>
      </c>
      <c r="J174" s="5">
        <v>5.0000000000000001E-3</v>
      </c>
      <c r="K174" s="4">
        <f>1</f>
        <v>1</v>
      </c>
      <c r="L174" s="4">
        <f t="shared" si="65"/>
        <v>0.2</v>
      </c>
      <c r="M174" s="4">
        <f t="shared" si="66"/>
        <v>1.4000000000000001</v>
      </c>
      <c r="N174" s="4">
        <f t="shared" si="67"/>
        <v>6</v>
      </c>
      <c r="O174" s="4">
        <f t="shared" si="68"/>
        <v>73</v>
      </c>
      <c r="P174" s="4">
        <f t="shared" si="69"/>
        <v>365</v>
      </c>
      <c r="Q174" s="4">
        <f t="shared" si="70"/>
        <v>730</v>
      </c>
      <c r="R174" s="5">
        <f t="shared" si="71"/>
        <v>-1.5E-3</v>
      </c>
      <c r="S174" s="5">
        <f t="shared" si="72"/>
        <v>-2.9999999999999997E-4</v>
      </c>
      <c r="T174" s="5">
        <f t="shared" si="73"/>
        <v>-2.1000000000000003E-3</v>
      </c>
      <c r="U174" s="5">
        <f t="shared" si="74"/>
        <v>-8.9999999999999993E-3</v>
      </c>
      <c r="V174" s="5">
        <f t="shared" si="75"/>
        <v>-0.1095</v>
      </c>
      <c r="W174" s="5">
        <f t="shared" si="76"/>
        <v>-0.54749999999999999</v>
      </c>
      <c r="X174" s="5">
        <f t="shared" si="77"/>
        <v>-1.095</v>
      </c>
      <c r="Y174" s="3" t="s">
        <v>323</v>
      </c>
      <c r="Z174" s="3" t="s">
        <v>15</v>
      </c>
    </row>
    <row r="175" spans="1:26" ht="34.15" customHeight="1" x14ac:dyDescent="0.25">
      <c r="A175" s="3">
        <v>3</v>
      </c>
      <c r="B175" s="3" t="s">
        <v>238</v>
      </c>
      <c r="C175" s="3"/>
      <c r="D175" s="3" t="s">
        <v>139</v>
      </c>
      <c r="E175" s="3" t="s">
        <v>50</v>
      </c>
      <c r="F175" s="3" t="s">
        <v>241</v>
      </c>
      <c r="G175" s="4">
        <v>-35</v>
      </c>
      <c r="H175" s="3" t="s">
        <v>285</v>
      </c>
      <c r="I175" s="4">
        <v>0.2</v>
      </c>
      <c r="J175" s="5">
        <v>5.0000000000000001E-3</v>
      </c>
      <c r="K175" s="4">
        <f>1</f>
        <v>1</v>
      </c>
      <c r="L175" s="4">
        <f t="shared" si="65"/>
        <v>0.2</v>
      </c>
      <c r="M175" s="4">
        <f t="shared" si="66"/>
        <v>1.4000000000000001</v>
      </c>
      <c r="N175" s="4">
        <f t="shared" si="67"/>
        <v>6</v>
      </c>
      <c r="O175" s="4">
        <f t="shared" si="68"/>
        <v>73</v>
      </c>
      <c r="P175" s="4">
        <f t="shared" si="69"/>
        <v>365</v>
      </c>
      <c r="Q175" s="4">
        <f t="shared" si="70"/>
        <v>730</v>
      </c>
      <c r="R175" s="5">
        <f t="shared" si="71"/>
        <v>-1.7499999999999998E-3</v>
      </c>
      <c r="S175" s="5">
        <f t="shared" si="72"/>
        <v>-3.5E-4</v>
      </c>
      <c r="T175" s="5">
        <f t="shared" si="73"/>
        <v>-2.4500000000000004E-3</v>
      </c>
      <c r="U175" s="5">
        <f t="shared" si="74"/>
        <v>-1.0499999999999999E-2</v>
      </c>
      <c r="V175" s="5">
        <f t="shared" si="75"/>
        <v>-0.12775</v>
      </c>
      <c r="W175" s="5">
        <f t="shared" si="76"/>
        <v>-0.63874999999999993</v>
      </c>
      <c r="X175" s="5">
        <f t="shared" si="77"/>
        <v>-1.2774999999999999</v>
      </c>
      <c r="Y175" s="3" t="s">
        <v>323</v>
      </c>
      <c r="Z175" s="3" t="s">
        <v>15</v>
      </c>
    </row>
    <row r="176" spans="1:26" ht="34.15" customHeight="1" x14ac:dyDescent="0.25">
      <c r="A176" s="3">
        <v>4</v>
      </c>
      <c r="B176" s="3" t="s">
        <v>238</v>
      </c>
      <c r="C176" s="3"/>
      <c r="D176" s="3" t="s">
        <v>139</v>
      </c>
      <c r="E176" s="3" t="s">
        <v>50</v>
      </c>
      <c r="F176" s="3" t="s">
        <v>242</v>
      </c>
      <c r="G176" s="4">
        <v>-40</v>
      </c>
      <c r="H176" s="3" t="s">
        <v>285</v>
      </c>
      <c r="I176" s="4">
        <v>0.3</v>
      </c>
      <c r="J176" s="5">
        <v>5.0000000000000001E-3</v>
      </c>
      <c r="K176" s="4">
        <f>1</f>
        <v>1</v>
      </c>
      <c r="L176" s="4">
        <f t="shared" si="65"/>
        <v>0.3</v>
      </c>
      <c r="M176" s="4">
        <f t="shared" si="66"/>
        <v>2.1</v>
      </c>
      <c r="N176" s="4">
        <f t="shared" si="67"/>
        <v>9</v>
      </c>
      <c r="O176" s="4">
        <f t="shared" si="68"/>
        <v>109.5</v>
      </c>
      <c r="P176" s="4">
        <f t="shared" si="69"/>
        <v>547.5</v>
      </c>
      <c r="Q176" s="4">
        <f t="shared" si="70"/>
        <v>1095</v>
      </c>
      <c r="R176" s="5">
        <f t="shared" si="71"/>
        <v>-2E-3</v>
      </c>
      <c r="S176" s="5">
        <f t="shared" si="72"/>
        <v>-6.0000000000000006E-4</v>
      </c>
      <c r="T176" s="5">
        <f t="shared" si="73"/>
        <v>-4.2000000000000006E-3</v>
      </c>
      <c r="U176" s="5">
        <f t="shared" si="74"/>
        <v>-1.7999999999999999E-2</v>
      </c>
      <c r="V176" s="5">
        <f t="shared" si="75"/>
        <v>-0.219</v>
      </c>
      <c r="W176" s="5">
        <f t="shared" si="76"/>
        <v>-1.0950000000000002</v>
      </c>
      <c r="X176" s="5">
        <f t="shared" si="77"/>
        <v>-2.1900000000000004</v>
      </c>
      <c r="Y176" s="3" t="s">
        <v>324</v>
      </c>
      <c r="Z176" s="3" t="s">
        <v>15</v>
      </c>
    </row>
    <row r="177" spans="1:26" ht="34.15" customHeight="1" x14ac:dyDescent="0.25">
      <c r="A177" s="3">
        <v>5</v>
      </c>
      <c r="B177" s="3" t="s">
        <v>238</v>
      </c>
      <c r="C177" s="3"/>
      <c r="D177" s="3" t="s">
        <v>139</v>
      </c>
      <c r="E177" s="3" t="s">
        <v>50</v>
      </c>
      <c r="F177" s="3" t="s">
        <v>243</v>
      </c>
      <c r="G177" s="4">
        <v>-42</v>
      </c>
      <c r="H177" s="3" t="s">
        <v>285</v>
      </c>
      <c r="I177" s="4">
        <v>0.5</v>
      </c>
      <c r="J177" s="5">
        <v>5.0000000000000001E-3</v>
      </c>
      <c r="K177" s="4">
        <f>1</f>
        <v>1</v>
      </c>
      <c r="L177" s="4">
        <f t="shared" si="65"/>
        <v>0.5</v>
      </c>
      <c r="M177" s="4">
        <f t="shared" si="66"/>
        <v>3.5</v>
      </c>
      <c r="N177" s="4">
        <f t="shared" si="67"/>
        <v>15</v>
      </c>
      <c r="O177" s="4">
        <f t="shared" si="68"/>
        <v>182.5</v>
      </c>
      <c r="P177" s="4">
        <f t="shared" si="69"/>
        <v>912.5</v>
      </c>
      <c r="Q177" s="4">
        <f t="shared" si="70"/>
        <v>1825</v>
      </c>
      <c r="R177" s="5">
        <f t="shared" si="71"/>
        <v>-2.0999999999999999E-3</v>
      </c>
      <c r="S177" s="5">
        <f t="shared" si="72"/>
        <v>-1.0499999999999999E-3</v>
      </c>
      <c r="T177" s="5">
        <f t="shared" si="73"/>
        <v>-7.3500000000000006E-3</v>
      </c>
      <c r="U177" s="5">
        <f t="shared" si="74"/>
        <v>-3.15E-2</v>
      </c>
      <c r="V177" s="5">
        <f t="shared" si="75"/>
        <v>-0.38324999999999998</v>
      </c>
      <c r="W177" s="5">
        <f t="shared" si="76"/>
        <v>-1.91625</v>
      </c>
      <c r="X177" s="5">
        <f t="shared" si="77"/>
        <v>-3.8325</v>
      </c>
      <c r="Y177" s="3" t="s">
        <v>325</v>
      </c>
      <c r="Z177" s="3" t="s">
        <v>15</v>
      </c>
    </row>
    <row r="178" spans="1:26" ht="34.15" customHeight="1" x14ac:dyDescent="0.25">
      <c r="A178" s="3">
        <v>6</v>
      </c>
      <c r="B178" s="3" t="s">
        <v>238</v>
      </c>
      <c r="C178" s="3"/>
      <c r="D178" s="3" t="s">
        <v>139</v>
      </c>
      <c r="E178" s="3" t="s">
        <v>50</v>
      </c>
      <c r="F178" s="3" t="s">
        <v>244</v>
      </c>
      <c r="G178" s="4">
        <v>-45</v>
      </c>
      <c r="H178" s="3" t="s">
        <v>285</v>
      </c>
      <c r="I178" s="4">
        <v>0.1</v>
      </c>
      <c r="J178" s="5">
        <v>5.0000000000000001E-3</v>
      </c>
      <c r="K178" s="4">
        <f>1</f>
        <v>1</v>
      </c>
      <c r="L178" s="4">
        <f t="shared" si="65"/>
        <v>0.1</v>
      </c>
      <c r="M178" s="4">
        <f t="shared" si="66"/>
        <v>0.70000000000000007</v>
      </c>
      <c r="N178" s="4">
        <f t="shared" si="67"/>
        <v>3</v>
      </c>
      <c r="O178" s="4">
        <f t="shared" si="68"/>
        <v>36.5</v>
      </c>
      <c r="P178" s="4">
        <f t="shared" si="69"/>
        <v>182.5</v>
      </c>
      <c r="Q178" s="4">
        <f t="shared" si="70"/>
        <v>365</v>
      </c>
      <c r="R178" s="5">
        <f t="shared" si="71"/>
        <v>-2.2500000000000003E-3</v>
      </c>
      <c r="S178" s="5">
        <f t="shared" si="72"/>
        <v>-2.2500000000000002E-4</v>
      </c>
      <c r="T178" s="5">
        <f t="shared" si="73"/>
        <v>-1.5750000000000002E-3</v>
      </c>
      <c r="U178" s="5">
        <f t="shared" si="74"/>
        <v>-6.7499999999999999E-3</v>
      </c>
      <c r="V178" s="5">
        <f t="shared" si="75"/>
        <v>-8.2125000000000004E-2</v>
      </c>
      <c r="W178" s="5">
        <f t="shared" si="76"/>
        <v>-0.41062500000000002</v>
      </c>
      <c r="X178" s="5">
        <f t="shared" si="77"/>
        <v>-0.82125000000000004</v>
      </c>
      <c r="Y178" s="3" t="s">
        <v>326</v>
      </c>
      <c r="Z178" s="3" t="s">
        <v>15</v>
      </c>
    </row>
    <row r="179" spans="1:26" ht="34.15" customHeight="1" x14ac:dyDescent="0.25">
      <c r="A179" s="3">
        <v>7</v>
      </c>
      <c r="B179" s="3" t="s">
        <v>238</v>
      </c>
      <c r="C179" s="3"/>
      <c r="D179" s="3" t="s">
        <v>139</v>
      </c>
      <c r="E179" s="3" t="s">
        <v>50</v>
      </c>
      <c r="F179" s="3" t="s">
        <v>245</v>
      </c>
      <c r="G179" s="4">
        <v>-50</v>
      </c>
      <c r="H179" s="3" t="s">
        <v>285</v>
      </c>
      <c r="I179" s="4">
        <v>0.1</v>
      </c>
      <c r="J179" s="5">
        <v>5.0000000000000001E-3</v>
      </c>
      <c r="K179" s="4">
        <f>1</f>
        <v>1</v>
      </c>
      <c r="L179" s="4">
        <f t="shared" si="65"/>
        <v>0.1</v>
      </c>
      <c r="M179" s="4">
        <f t="shared" si="66"/>
        <v>0.70000000000000007</v>
      </c>
      <c r="N179" s="4">
        <f t="shared" si="67"/>
        <v>3</v>
      </c>
      <c r="O179" s="4">
        <f t="shared" si="68"/>
        <v>36.5</v>
      </c>
      <c r="P179" s="4">
        <f t="shared" si="69"/>
        <v>182.5</v>
      </c>
      <c r="Q179" s="4">
        <f t="shared" si="70"/>
        <v>365</v>
      </c>
      <c r="R179" s="5">
        <f t="shared" si="71"/>
        <v>-2.5000000000000001E-3</v>
      </c>
      <c r="S179" s="5">
        <f t="shared" si="72"/>
        <v>-2.5000000000000001E-4</v>
      </c>
      <c r="T179" s="5">
        <f t="shared" si="73"/>
        <v>-1.7500000000000003E-3</v>
      </c>
      <c r="U179" s="5">
        <f t="shared" si="74"/>
        <v>-7.4999999999999997E-3</v>
      </c>
      <c r="V179" s="5">
        <f t="shared" si="75"/>
        <v>-9.1249999999999998E-2</v>
      </c>
      <c r="W179" s="5">
        <f t="shared" si="76"/>
        <v>-0.45624999999999999</v>
      </c>
      <c r="X179" s="5">
        <f t="shared" si="77"/>
        <v>-0.91249999999999998</v>
      </c>
      <c r="Y179" s="3" t="s">
        <v>326</v>
      </c>
      <c r="Z179" s="3" t="s">
        <v>15</v>
      </c>
    </row>
    <row r="180" spans="1:26" ht="34.15" customHeight="1" x14ac:dyDescent="0.25">
      <c r="A180" s="3">
        <v>8</v>
      </c>
      <c r="B180" s="3" t="s">
        <v>238</v>
      </c>
      <c r="C180" s="3"/>
      <c r="D180" s="3" t="s">
        <v>139</v>
      </c>
      <c r="E180" s="3" t="s">
        <v>50</v>
      </c>
      <c r="F180" s="3" t="s">
        <v>246</v>
      </c>
      <c r="G180" s="4">
        <v>-52</v>
      </c>
      <c r="H180" s="3" t="s">
        <v>285</v>
      </c>
      <c r="I180" s="4">
        <v>0.1</v>
      </c>
      <c r="J180" s="5">
        <v>5.0000000000000001E-3</v>
      </c>
      <c r="K180" s="4">
        <f>1</f>
        <v>1</v>
      </c>
      <c r="L180" s="4">
        <f t="shared" si="65"/>
        <v>0.1</v>
      </c>
      <c r="M180" s="4">
        <f t="shared" si="66"/>
        <v>0.70000000000000007</v>
      </c>
      <c r="N180" s="4">
        <f t="shared" si="67"/>
        <v>3</v>
      </c>
      <c r="O180" s="4">
        <f t="shared" si="68"/>
        <v>36.5</v>
      </c>
      <c r="P180" s="4">
        <f t="shared" si="69"/>
        <v>182.5</v>
      </c>
      <c r="Q180" s="4">
        <f t="shared" si="70"/>
        <v>365</v>
      </c>
      <c r="R180" s="5">
        <f t="shared" si="71"/>
        <v>-2.6000000000000003E-3</v>
      </c>
      <c r="S180" s="5">
        <f t="shared" si="72"/>
        <v>-2.6000000000000003E-4</v>
      </c>
      <c r="T180" s="5">
        <f t="shared" si="73"/>
        <v>-1.8200000000000002E-3</v>
      </c>
      <c r="U180" s="5">
        <f t="shared" si="74"/>
        <v>-7.7999999999999996E-3</v>
      </c>
      <c r="V180" s="5">
        <f t="shared" si="75"/>
        <v>-9.4899999999999998E-2</v>
      </c>
      <c r="W180" s="5">
        <f t="shared" si="76"/>
        <v>-0.47449999999999998</v>
      </c>
      <c r="X180" s="5">
        <f t="shared" si="77"/>
        <v>-0.94899999999999995</v>
      </c>
      <c r="Y180" s="3" t="s">
        <v>326</v>
      </c>
      <c r="Z180" s="3" t="s">
        <v>15</v>
      </c>
    </row>
    <row r="181" spans="1:26" ht="34.15" customHeight="1" x14ac:dyDescent="0.25">
      <c r="A181" s="3">
        <v>9</v>
      </c>
      <c r="B181" s="3" t="s">
        <v>238</v>
      </c>
      <c r="C181" s="3"/>
      <c r="D181" s="3" t="s">
        <v>139</v>
      </c>
      <c r="E181" s="3" t="s">
        <v>50</v>
      </c>
      <c r="F181" s="3" t="s">
        <v>247</v>
      </c>
      <c r="G181" s="4">
        <v>-55</v>
      </c>
      <c r="H181" s="3" t="s">
        <v>285</v>
      </c>
      <c r="I181" s="4">
        <v>0.1</v>
      </c>
      <c r="J181" s="5">
        <v>5.0000000000000001E-3</v>
      </c>
      <c r="K181" s="4">
        <f>1</f>
        <v>1</v>
      </c>
      <c r="L181" s="4">
        <f t="shared" si="65"/>
        <v>0.1</v>
      </c>
      <c r="M181" s="4">
        <f t="shared" si="66"/>
        <v>0.70000000000000007</v>
      </c>
      <c r="N181" s="4">
        <f t="shared" si="67"/>
        <v>3</v>
      </c>
      <c r="O181" s="4">
        <f t="shared" si="68"/>
        <v>36.5</v>
      </c>
      <c r="P181" s="4">
        <f t="shared" si="69"/>
        <v>182.5</v>
      </c>
      <c r="Q181" s="4">
        <f t="shared" si="70"/>
        <v>365</v>
      </c>
      <c r="R181" s="5">
        <f t="shared" si="71"/>
        <v>-2.7500000000000003E-3</v>
      </c>
      <c r="S181" s="5">
        <f t="shared" si="72"/>
        <v>-2.7500000000000002E-4</v>
      </c>
      <c r="T181" s="5">
        <f t="shared" si="73"/>
        <v>-1.9250000000000005E-3</v>
      </c>
      <c r="U181" s="5">
        <f t="shared" si="74"/>
        <v>-8.2500000000000004E-3</v>
      </c>
      <c r="V181" s="5">
        <f t="shared" si="75"/>
        <v>-0.10037500000000001</v>
      </c>
      <c r="W181" s="5">
        <f t="shared" si="76"/>
        <v>-0.50187500000000007</v>
      </c>
      <c r="X181" s="5">
        <f t="shared" si="77"/>
        <v>-1.0037500000000001</v>
      </c>
      <c r="Y181" s="3" t="s">
        <v>326</v>
      </c>
      <c r="Z181" s="3" t="s">
        <v>15</v>
      </c>
    </row>
  </sheetData>
  <conditionalFormatting sqref="G2:G181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R2:X181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5" x14ac:dyDescent="0.25"/>
  <cols>
    <col min="1" max="1" width="20" customWidth="1"/>
    <col min="2" max="2" width="10" customWidth="1"/>
    <col min="3" max="3" width="12" customWidth="1"/>
    <col min="4" max="4" width="10" customWidth="1"/>
    <col min="5" max="5" width="14" customWidth="1"/>
    <col min="6" max="7" width="12" customWidth="1"/>
  </cols>
  <sheetData>
    <row r="1" spans="1:7" ht="30" x14ac:dyDescent="0.25">
      <c r="A1" s="1" t="s">
        <v>33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</row>
    <row r="2" spans="1:7" x14ac:dyDescent="0.25">
      <c r="A2" s="3" t="s">
        <v>146</v>
      </c>
      <c r="B2" s="3">
        <f>COUNTIF(Standardized_Model!$B$2:$B$181,A2)</f>
        <v>10</v>
      </c>
      <c r="C2" s="4">
        <f>SUMIF(Standardized_Model!$B$2:$B$181,A2,Standardized_Model!$I$2:$I$181)/B2</f>
        <v>5.0299999999999994</v>
      </c>
      <c r="D2" s="5">
        <f>SUMIF(Standardized_Model!$B$2:$B$181,A2,Standardized_Model!$J$2:$J$181)/B2</f>
        <v>8.0000000000000029E-2</v>
      </c>
      <c r="E2" s="4">
        <f>SUMIF(Standardized_Model!$B$2:$B$181,A2,Standardized_Model!$G$2:$G$181)/B2</f>
        <v>-20.984999999999999</v>
      </c>
      <c r="F2" s="5">
        <f>SUMIF(Standardized_Model!$B$2:$B$181,A2,Standardized_Model!$V$2:$V$181)/B2</f>
        <v>-4.1455000000000016E-3</v>
      </c>
      <c r="G2" s="5">
        <f>SUMIF(Standardized_Model!$B$2:$B$181,A2,Standardized_Model!$X$2:$X$181)/B2</f>
        <v>-3.5892350717725507E-2</v>
      </c>
    </row>
    <row r="3" spans="1:7" x14ac:dyDescent="0.25">
      <c r="A3" s="3" t="s">
        <v>86</v>
      </c>
      <c r="B3" s="3">
        <f>COUNTIF(Standardized_Model!$B$2:$B$181,A3)</f>
        <v>16</v>
      </c>
      <c r="C3" s="4">
        <f>SUMIF(Standardized_Model!$B$2:$B$181,A3,Standardized_Model!$I$2:$I$181)/B3</f>
        <v>0.01</v>
      </c>
      <c r="D3" s="5">
        <f>SUMIF(Standardized_Model!$B$2:$B$181,A3,Standardized_Model!$J$2:$J$181)/B3</f>
        <v>1</v>
      </c>
      <c r="E3" s="4">
        <f>SUMIF(Standardized_Model!$B$2:$B$181,A3,Standardized_Model!$G$2:$G$181)/B3</f>
        <v>3.4187500000000002</v>
      </c>
      <c r="F3" s="5">
        <f>SUMIF(Standardized_Model!$B$2:$B$181,A3,Standardized_Model!$V$2:$V$181)/B3</f>
        <v>3.4187499999999954E-2</v>
      </c>
      <c r="G3" s="5">
        <f>SUMIF(Standardized_Model!$B$2:$B$181,A3,Standardized_Model!$X$2:$X$181)/B3</f>
        <v>0.40601519077596726</v>
      </c>
    </row>
    <row r="4" spans="1:7" x14ac:dyDescent="0.25">
      <c r="A4" s="3" t="s">
        <v>188</v>
      </c>
      <c r="B4" s="3">
        <f>COUNTIF(Standardized_Model!$B$2:$B$181,A4)</f>
        <v>21</v>
      </c>
      <c r="C4" s="4">
        <f>SUMIF(Standardized_Model!$B$2:$B$181,A4,Standardized_Model!$I$2:$I$181)/B4</f>
        <v>107.38095238095238</v>
      </c>
      <c r="D4" s="5">
        <f>SUMIF(Standardized_Model!$B$2:$B$181,A4,Standardized_Model!$J$2:$J$181)/B4</f>
        <v>4.0952380952380954E-3</v>
      </c>
      <c r="E4" s="4">
        <f>SUMIF(Standardized_Model!$B$2:$B$181,A4,Standardized_Model!$G$2:$G$181)/B4</f>
        <v>-6.4742857142857151</v>
      </c>
      <c r="F4" s="5">
        <f>SUMIF(Standardized_Model!$B$2:$B$181,A4,Standardized_Model!$V$2:$V$181)/B4</f>
        <v>-4.0132619047619054</v>
      </c>
      <c r="G4" s="5">
        <f>SUMIF(Standardized_Model!$B$2:$B$181,A4,Standardized_Model!$X$2:$X$181)/B4</f>
        <v>-40.132619047619045</v>
      </c>
    </row>
    <row r="5" spans="1:7" x14ac:dyDescent="0.25">
      <c r="A5" s="3" t="s">
        <v>157</v>
      </c>
      <c r="B5" s="3">
        <f>COUNTIF(Standardized_Model!$B$2:$B$181,A5)</f>
        <v>11</v>
      </c>
      <c r="C5" s="4">
        <f>SUMIF(Standardized_Model!$B$2:$B$181,A5,Standardized_Model!$I$2:$I$181)/B5</f>
        <v>1.8636363636363638E-2</v>
      </c>
      <c r="D5" s="5">
        <f>SUMIF(Standardized_Model!$B$2:$B$181,A5,Standardized_Model!$J$2:$J$181)/B5</f>
        <v>0.59090909090909083</v>
      </c>
      <c r="E5" s="4">
        <f>SUMIF(Standardized_Model!$B$2:$B$181,A5,Standardized_Model!$G$2:$G$181)/B5</f>
        <v>-4.7890909090909091</v>
      </c>
      <c r="F5" s="5">
        <f>SUMIF(Standardized_Model!$B$2:$B$181,A5,Standardized_Model!$V$2:$V$181)/B5</f>
        <v>-9.0909090908979966E-6</v>
      </c>
      <c r="G5" s="5">
        <f>SUMIF(Standardized_Model!$B$2:$B$181,A5,Standardized_Model!$X$2:$X$181)/B5</f>
        <v>7.7375407018378639E-2</v>
      </c>
    </row>
    <row r="6" spans="1:7" x14ac:dyDescent="0.25">
      <c r="A6" s="3" t="s">
        <v>116</v>
      </c>
      <c r="B6" s="3">
        <f>COUNTIF(Standardized_Model!$B$2:$B$181,A6)</f>
        <v>10</v>
      </c>
      <c r="C6" s="4">
        <f>SUMIF(Standardized_Model!$B$2:$B$181,A6,Standardized_Model!$I$2:$I$181)/B6</f>
        <v>8.4000000000000005E-2</v>
      </c>
      <c r="D6" s="5">
        <f>SUMIF(Standardized_Model!$B$2:$B$181,A6,Standardized_Model!$J$2:$J$181)/B6</f>
        <v>0.56000000000000005</v>
      </c>
      <c r="E6" s="4">
        <f>SUMIF(Standardized_Model!$B$2:$B$181,A6,Standardized_Model!$G$2:$G$181)/B6</f>
        <v>3.9350000000000001</v>
      </c>
      <c r="F6" s="5">
        <f>SUMIF(Standardized_Model!$B$2:$B$181,A6,Standardized_Model!$V$2:$V$181)/B6</f>
        <v>7.5295000000000015E-2</v>
      </c>
      <c r="G6" s="5">
        <f>SUMIF(Standardized_Model!$B$2:$B$181,A6,Standardized_Model!$X$2:$X$181)/B6</f>
        <v>2.8898845471344381</v>
      </c>
    </row>
    <row r="7" spans="1:7" x14ac:dyDescent="0.25">
      <c r="A7" s="3" t="s">
        <v>238</v>
      </c>
      <c r="B7" s="3">
        <f>COUNTIF(Standardized_Model!$B$2:$B$181,A7)</f>
        <v>9</v>
      </c>
      <c r="C7" s="4">
        <f>SUMIF(Standardized_Model!$B$2:$B$181,A7,Standardized_Model!$I$2:$I$181)/B7</f>
        <v>0.20000000000000007</v>
      </c>
      <c r="D7" s="5">
        <f>SUMIF(Standardized_Model!$B$2:$B$181,A7,Standardized_Model!$J$2:$J$181)/B7</f>
        <v>5.0000000000000001E-3</v>
      </c>
      <c r="E7" s="4">
        <f>SUMIF(Standardized_Model!$B$2:$B$181,A7,Standardized_Model!$G$2:$G$181)/B7</f>
        <v>-41.555555555555557</v>
      </c>
      <c r="F7" s="5">
        <f>SUMIF(Standardized_Model!$B$2:$B$181,A7,Standardized_Model!$V$2:$V$181)/B7</f>
        <v>-0.1443777777777778</v>
      </c>
      <c r="G7" s="5">
        <f>SUMIF(Standardized_Model!$B$2:$B$181,A7,Standardized_Model!$X$2:$X$181)/B7</f>
        <v>-1.4437777777777778</v>
      </c>
    </row>
    <row r="8" spans="1:7" x14ac:dyDescent="0.25">
      <c r="A8" s="3" t="s">
        <v>127</v>
      </c>
      <c r="B8" s="3">
        <f>COUNTIF(Standardized_Model!$B$2:$B$181,A8)</f>
        <v>14</v>
      </c>
      <c r="C8" s="4">
        <f>SUMIF(Standardized_Model!$B$2:$B$181,A8,Standardized_Model!$I$2:$I$181)/B8</f>
        <v>1.8757142857142857</v>
      </c>
      <c r="D8" s="5">
        <f>SUMIF(Standardized_Model!$B$2:$B$181,A8,Standardized_Model!$J$2:$J$181)/B8</f>
        <v>0.27357142857142852</v>
      </c>
      <c r="E8" s="4">
        <f>SUMIF(Standardized_Model!$B$2:$B$181,A8,Standardized_Model!$G$2:$G$181)/B8</f>
        <v>-10.50357142857143</v>
      </c>
      <c r="F8" s="5">
        <f>SUMIF(Standardized_Model!$B$2:$B$181,A8,Standardized_Model!$V$2:$V$181)/B8</f>
        <v>-3.6278635714285712</v>
      </c>
      <c r="G8" s="5">
        <f>SUMIF(Standardized_Model!$B$2:$B$181,A8,Standardized_Model!$X$2:$X$181)/B8</f>
        <v>-36.257814273861605</v>
      </c>
    </row>
    <row r="9" spans="1:7" x14ac:dyDescent="0.25">
      <c r="A9" s="3" t="s">
        <v>210</v>
      </c>
      <c r="B9" s="3">
        <f>COUNTIF(Standardized_Model!$B$2:$B$181,A9)</f>
        <v>14</v>
      </c>
      <c r="C9" s="4">
        <f>SUMIF(Standardized_Model!$B$2:$B$181,A9,Standardized_Model!$I$2:$I$181)/B9</f>
        <v>123.13571428571427</v>
      </c>
      <c r="D9" s="5">
        <f>SUMIF(Standardized_Model!$B$2:$B$181,A9,Standardized_Model!$J$2:$J$181)/B9</f>
        <v>1.0142857142857144E-2</v>
      </c>
      <c r="E9" s="4">
        <f>SUMIF(Standardized_Model!$B$2:$B$181,A9,Standardized_Model!$G$2:$G$181)/B9</f>
        <v>-2.6757142857142857</v>
      </c>
      <c r="F9" s="5">
        <f>SUMIF(Standardized_Model!$B$2:$B$181,A9,Standardized_Model!$V$2:$V$181)/B9</f>
        <v>-0.971838571428571</v>
      </c>
      <c r="G9" s="5">
        <f>SUMIF(Standardized_Model!$B$2:$B$181,A9,Standardized_Model!$X$2:$X$181)/B9</f>
        <v>-9.71838571428572</v>
      </c>
    </row>
    <row r="10" spans="1:7" x14ac:dyDescent="0.25">
      <c r="A10" s="3" t="s">
        <v>225</v>
      </c>
      <c r="B10" s="3">
        <f>COUNTIF(Standardized_Model!$B$2:$B$181,A10)</f>
        <v>12</v>
      </c>
      <c r="C10" s="4">
        <f>SUMIF(Standardized_Model!$B$2:$B$181,A10,Standardized_Model!$I$2:$I$181)/B10</f>
        <v>0.39583333333333326</v>
      </c>
      <c r="D10" s="5">
        <f>SUMIF(Standardized_Model!$B$2:$B$181,A10,Standardized_Model!$J$2:$J$181)/B10</f>
        <v>3.0000000000000009E-2</v>
      </c>
      <c r="E10" s="4">
        <f>SUMIF(Standardized_Model!$B$2:$B$181,A10,Standardized_Model!$G$2:$G$181)/B10</f>
        <v>-5.083333333333333</v>
      </c>
      <c r="F10" s="5">
        <f>SUMIF(Standardized_Model!$B$2:$B$181,A10,Standardized_Model!$V$2:$V$181)/B10</f>
        <v>-0.22652812499999997</v>
      </c>
      <c r="G10" s="5">
        <f>SUMIF(Standardized_Model!$B$2:$B$181,A10,Standardized_Model!$X$2:$X$181)/B10</f>
        <v>-2.2652812500000001</v>
      </c>
    </row>
    <row r="11" spans="1:7" x14ac:dyDescent="0.25">
      <c r="A11" s="3" t="s">
        <v>103</v>
      </c>
      <c r="B11" s="3">
        <f>COUNTIF(Standardized_Model!$B$2:$B$181,A11)</f>
        <v>12</v>
      </c>
      <c r="C11" s="4">
        <f>SUMIF(Standardized_Model!$B$2:$B$181,A11,Standardized_Model!$I$2:$I$181)/B11</f>
        <v>4.333333333333334E-3</v>
      </c>
      <c r="D11" s="5">
        <f>SUMIF(Standardized_Model!$B$2:$B$181,A11,Standardized_Model!$J$2:$J$181)/B11</f>
        <v>0.96666666666666679</v>
      </c>
      <c r="E11" s="4">
        <f>SUMIF(Standardized_Model!$B$2:$B$181,A11,Standardized_Model!$G$2:$G$181)/B11</f>
        <v>3.956666666666667</v>
      </c>
      <c r="F11" s="5">
        <f>SUMIF(Standardized_Model!$B$2:$B$181,A11,Standardized_Model!$V$2:$V$181)/B11</f>
        <v>3.9899999999999984E-2</v>
      </c>
      <c r="G11" s="5">
        <f>SUMIF(Standardized_Model!$B$2:$B$181,A11,Standardized_Model!$X$2:$X$181)/B11</f>
        <v>0.66170720334295041</v>
      </c>
    </row>
    <row r="12" spans="1:7" x14ac:dyDescent="0.25">
      <c r="A12" s="3" t="s">
        <v>169</v>
      </c>
      <c r="B12" s="3">
        <f>COUNTIF(Standardized_Model!$B$2:$B$181,A12)</f>
        <v>18</v>
      </c>
      <c r="C12" s="4">
        <f>SUMIF(Standardized_Model!$B$2:$B$181,A12,Standardized_Model!$I$2:$I$181)/B12</f>
        <v>1.5922222222222224</v>
      </c>
      <c r="D12" s="5">
        <f>SUMIF(Standardized_Model!$B$2:$B$181,A12,Standardized_Model!$J$2:$J$181)/B12</f>
        <v>1.7777777777777785E-2</v>
      </c>
      <c r="E12" s="4">
        <f>SUMIF(Standardized_Model!$B$2:$B$181,A12,Standardized_Model!$G$2:$G$181)/B12</f>
        <v>-14.036111111111111</v>
      </c>
      <c r="F12" s="5">
        <f>SUMIF(Standardized_Model!$B$2:$B$181,A12,Standardized_Model!$V$2:$V$181)/B12</f>
        <v>-0.96694583333333328</v>
      </c>
      <c r="G12" s="5">
        <f>SUMIF(Standardized_Model!$B$2:$B$181,A12,Standardized_Model!$X$2:$X$181)/B12</f>
        <v>-9.669458333333333</v>
      </c>
    </row>
    <row r="13" spans="1:7" x14ac:dyDescent="0.25">
      <c r="A13" s="3" t="s">
        <v>48</v>
      </c>
      <c r="B13" s="3">
        <f>COUNTIF(Standardized_Model!$B$2:$B$181,A13)</f>
        <v>33</v>
      </c>
      <c r="C13" s="4">
        <f>SUMIF(Standardized_Model!$B$2:$B$181,A13,Standardized_Model!$I$2:$I$181)/B13</f>
        <v>2.7272727272727282E-2</v>
      </c>
      <c r="D13" s="5">
        <f>SUMIF(Standardized_Model!$B$2:$B$181,A13,Standardized_Model!$J$2:$J$181)/B13</f>
        <v>0.9651515151515152</v>
      </c>
      <c r="E13" s="4">
        <f>SUMIF(Standardized_Model!$B$2:$B$181,A13,Standardized_Model!$G$2:$G$181)/B13</f>
        <v>6.5581818181818186</v>
      </c>
      <c r="F13" s="5">
        <f>SUMIF(Standardized_Model!$B$2:$B$181,A13,Standardized_Model!$V$2:$V$181)/B13</f>
        <v>7.2642424242424272E-2</v>
      </c>
      <c r="G13" s="5">
        <f>SUMIF(Standardized_Model!$B$2:$B$181,A13,Standardized_Model!$X$2:$X$181)/B13</f>
        <v>1.1276842533002949</v>
      </c>
    </row>
  </sheetData>
  <conditionalFormatting sqref="F2:G13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/>
  </sheetViews>
  <sheetFormatPr defaultRowHeight="15" x14ac:dyDescent="0.25"/>
  <cols>
    <col min="1" max="1" width="20" customWidth="1"/>
    <col min="2" max="2" width="14" customWidth="1"/>
    <col min="4" max="4" width="20" customWidth="1"/>
    <col min="5" max="5" width="14" customWidth="1"/>
    <col min="7" max="7" width="20" customWidth="1"/>
    <col min="8" max="8" width="12" customWidth="1"/>
  </cols>
  <sheetData>
    <row r="1" spans="1:8" ht="18.75" x14ac:dyDescent="0.25">
      <c r="A1" s="9" t="s">
        <v>333</v>
      </c>
      <c r="B1" s="9"/>
      <c r="C1" s="9"/>
      <c r="D1" s="9"/>
      <c r="E1" s="9"/>
      <c r="F1" s="9"/>
      <c r="G1" s="9"/>
      <c r="H1" s="9"/>
    </row>
    <row r="3" spans="1:8" x14ac:dyDescent="0.25">
      <c r="A3" s="2" t="s">
        <v>334</v>
      </c>
      <c r="B3" s="2" t="s">
        <v>335</v>
      </c>
    </row>
    <row r="4" spans="1:8" x14ac:dyDescent="0.25">
      <c r="A4" t="s">
        <v>336</v>
      </c>
      <c r="B4">
        <v>180</v>
      </c>
    </row>
    <row r="5" spans="1:8" x14ac:dyDescent="0.25">
      <c r="A5" t="s">
        <v>337</v>
      </c>
      <c r="B5">
        <v>12</v>
      </c>
    </row>
    <row r="6" spans="1:8" x14ac:dyDescent="0.25">
      <c r="A6" t="s">
        <v>338</v>
      </c>
      <c r="B6" t="s">
        <v>339</v>
      </c>
    </row>
    <row r="8" spans="1:8" ht="30" x14ac:dyDescent="0.25">
      <c r="A8" s="1" t="s">
        <v>33</v>
      </c>
      <c r="B8" s="1" t="s">
        <v>340</v>
      </c>
      <c r="C8" s="3"/>
      <c r="D8" s="1" t="s">
        <v>33</v>
      </c>
      <c r="E8" s="1" t="s">
        <v>341</v>
      </c>
      <c r="F8" s="3"/>
      <c r="G8" s="1" t="s">
        <v>33</v>
      </c>
      <c r="H8" s="1" t="s">
        <v>342</v>
      </c>
    </row>
    <row r="9" spans="1:8" x14ac:dyDescent="0.25">
      <c r="A9" s="3" t="s">
        <v>146</v>
      </c>
      <c r="B9" s="5">
        <f>Category_Summary!F2</f>
        <v>-4.1455000000000016E-3</v>
      </c>
      <c r="C9" s="3"/>
      <c r="D9" s="3" t="s">
        <v>146</v>
      </c>
      <c r="E9" s="5">
        <f>Category_Summary!G2</f>
        <v>-3.5892350717725507E-2</v>
      </c>
      <c r="F9" s="3"/>
      <c r="G9" s="3" t="s">
        <v>146</v>
      </c>
      <c r="H9" s="4">
        <f>Category_Summary!C2</f>
        <v>5.0299999999999994</v>
      </c>
    </row>
    <row r="10" spans="1:8" x14ac:dyDescent="0.25">
      <c r="A10" s="3" t="s">
        <v>86</v>
      </c>
      <c r="B10" s="5">
        <f>Category_Summary!F3</f>
        <v>3.4187499999999954E-2</v>
      </c>
      <c r="C10" s="3"/>
      <c r="D10" s="3" t="s">
        <v>86</v>
      </c>
      <c r="E10" s="5">
        <f>Category_Summary!G3</f>
        <v>0.40601519077596726</v>
      </c>
      <c r="F10" s="3"/>
      <c r="G10" s="3" t="s">
        <v>86</v>
      </c>
      <c r="H10" s="4">
        <f>Category_Summary!C3</f>
        <v>0.01</v>
      </c>
    </row>
    <row r="11" spans="1:8" x14ac:dyDescent="0.25">
      <c r="A11" s="3" t="s">
        <v>188</v>
      </c>
      <c r="B11" s="5">
        <f>Category_Summary!F4</f>
        <v>-4.0132619047619054</v>
      </c>
      <c r="C11" s="3"/>
      <c r="D11" s="3" t="s">
        <v>188</v>
      </c>
      <c r="E11" s="5">
        <f>Category_Summary!G4</f>
        <v>-40.132619047619045</v>
      </c>
      <c r="F11" s="3"/>
      <c r="G11" s="3" t="s">
        <v>188</v>
      </c>
      <c r="H11" s="4">
        <f>Category_Summary!C4</f>
        <v>107.38095238095238</v>
      </c>
    </row>
    <row r="12" spans="1:8" x14ac:dyDescent="0.25">
      <c r="A12" s="3" t="s">
        <v>157</v>
      </c>
      <c r="B12" s="5">
        <f>Category_Summary!F5</f>
        <v>-9.0909090908979966E-6</v>
      </c>
      <c r="C12" s="3"/>
      <c r="D12" s="3" t="s">
        <v>157</v>
      </c>
      <c r="E12" s="5">
        <f>Category_Summary!G5</f>
        <v>7.7375407018378639E-2</v>
      </c>
      <c r="F12" s="3"/>
      <c r="G12" s="3" t="s">
        <v>157</v>
      </c>
      <c r="H12" s="4">
        <f>Category_Summary!C5</f>
        <v>1.8636363636363638E-2</v>
      </c>
    </row>
    <row r="13" spans="1:8" x14ac:dyDescent="0.25">
      <c r="A13" s="3" t="s">
        <v>116</v>
      </c>
      <c r="B13" s="5">
        <f>Category_Summary!F6</f>
        <v>7.5295000000000015E-2</v>
      </c>
      <c r="C13" s="3"/>
      <c r="D13" s="3" t="s">
        <v>116</v>
      </c>
      <c r="E13" s="5">
        <f>Category_Summary!G6</f>
        <v>2.8898845471344381</v>
      </c>
      <c r="F13" s="3"/>
      <c r="G13" s="3" t="s">
        <v>116</v>
      </c>
      <c r="H13" s="4">
        <f>Category_Summary!C6</f>
        <v>8.4000000000000005E-2</v>
      </c>
    </row>
    <row r="14" spans="1:8" x14ac:dyDescent="0.25">
      <c r="A14" s="3" t="s">
        <v>238</v>
      </c>
      <c r="B14" s="5">
        <f>Category_Summary!F7</f>
        <v>-0.1443777777777778</v>
      </c>
      <c r="C14" s="3"/>
      <c r="D14" s="3" t="s">
        <v>238</v>
      </c>
      <c r="E14" s="5">
        <f>Category_Summary!G7</f>
        <v>-1.4437777777777778</v>
      </c>
      <c r="F14" s="3"/>
      <c r="G14" s="3" t="s">
        <v>238</v>
      </c>
      <c r="H14" s="4">
        <f>Category_Summary!C7</f>
        <v>0.20000000000000007</v>
      </c>
    </row>
    <row r="15" spans="1:8" x14ac:dyDescent="0.25">
      <c r="A15" s="3" t="s">
        <v>127</v>
      </c>
      <c r="B15" s="5">
        <f>Category_Summary!F8</f>
        <v>-3.6278635714285712</v>
      </c>
      <c r="C15" s="3"/>
      <c r="D15" s="3" t="s">
        <v>127</v>
      </c>
      <c r="E15" s="5">
        <f>Category_Summary!G8</f>
        <v>-36.257814273861605</v>
      </c>
      <c r="F15" s="3"/>
      <c r="G15" s="3" t="s">
        <v>127</v>
      </c>
      <c r="H15" s="4">
        <f>Category_Summary!C8</f>
        <v>1.8757142857142857</v>
      </c>
    </row>
    <row r="16" spans="1:8" x14ac:dyDescent="0.25">
      <c r="A16" s="3" t="s">
        <v>210</v>
      </c>
      <c r="B16" s="5">
        <f>Category_Summary!F9</f>
        <v>-0.971838571428571</v>
      </c>
      <c r="C16" s="3"/>
      <c r="D16" s="3" t="s">
        <v>210</v>
      </c>
      <c r="E16" s="5">
        <f>Category_Summary!G9</f>
        <v>-9.71838571428572</v>
      </c>
      <c r="F16" s="3"/>
      <c r="G16" s="3" t="s">
        <v>210</v>
      </c>
      <c r="H16" s="4">
        <f>Category_Summary!C9</f>
        <v>123.13571428571427</v>
      </c>
    </row>
    <row r="17" spans="1:8" x14ac:dyDescent="0.25">
      <c r="A17" s="3" t="s">
        <v>225</v>
      </c>
      <c r="B17" s="5">
        <f>Category_Summary!F10</f>
        <v>-0.22652812499999997</v>
      </c>
      <c r="C17" s="3"/>
      <c r="D17" s="3" t="s">
        <v>225</v>
      </c>
      <c r="E17" s="5">
        <f>Category_Summary!G10</f>
        <v>-2.2652812500000001</v>
      </c>
      <c r="F17" s="3"/>
      <c r="G17" s="3" t="s">
        <v>225</v>
      </c>
      <c r="H17" s="4">
        <f>Category_Summary!C10</f>
        <v>0.39583333333333326</v>
      </c>
    </row>
    <row r="18" spans="1:8" x14ac:dyDescent="0.25">
      <c r="A18" s="3" t="s">
        <v>103</v>
      </c>
      <c r="B18" s="5">
        <f>Category_Summary!F11</f>
        <v>3.9899999999999984E-2</v>
      </c>
      <c r="C18" s="3"/>
      <c r="D18" s="3" t="s">
        <v>103</v>
      </c>
      <c r="E18" s="5">
        <f>Category_Summary!G11</f>
        <v>0.66170720334295041</v>
      </c>
      <c r="F18" s="3"/>
      <c r="G18" s="3" t="s">
        <v>103</v>
      </c>
      <c r="H18" s="4">
        <f>Category_Summary!C11</f>
        <v>4.333333333333334E-3</v>
      </c>
    </row>
    <row r="19" spans="1:8" x14ac:dyDescent="0.25">
      <c r="A19" s="3" t="s">
        <v>169</v>
      </c>
      <c r="B19" s="5">
        <f>Category_Summary!F12</f>
        <v>-0.96694583333333328</v>
      </c>
      <c r="C19" s="3"/>
      <c r="D19" s="3" t="s">
        <v>169</v>
      </c>
      <c r="E19" s="5">
        <f>Category_Summary!G12</f>
        <v>-9.669458333333333</v>
      </c>
      <c r="F19" s="3"/>
      <c r="G19" s="3" t="s">
        <v>169</v>
      </c>
      <c r="H19" s="4">
        <f>Category_Summary!C12</f>
        <v>1.5922222222222224</v>
      </c>
    </row>
    <row r="20" spans="1:8" x14ac:dyDescent="0.25">
      <c r="A20" s="3" t="s">
        <v>48</v>
      </c>
      <c r="B20" s="5">
        <f>Category_Summary!F13</f>
        <v>7.2642424242424272E-2</v>
      </c>
      <c r="C20" s="3"/>
      <c r="D20" s="3" t="s">
        <v>48</v>
      </c>
      <c r="E20" s="5">
        <f>Category_Summary!G13</f>
        <v>1.1276842533002949</v>
      </c>
      <c r="F20" s="3"/>
      <c r="G20" s="3" t="s">
        <v>48</v>
      </c>
      <c r="H20" s="4">
        <f>Category_Summary!C13</f>
        <v>2.7272727272727282E-2</v>
      </c>
    </row>
    <row r="42" spans="5:8" x14ac:dyDescent="0.25">
      <c r="E42" s="7" t="s">
        <v>343</v>
      </c>
      <c r="F42" s="7"/>
      <c r="G42" s="7"/>
      <c r="H42" s="7"/>
    </row>
    <row r="43" spans="5:8" x14ac:dyDescent="0.25">
      <c r="E43" s="7"/>
      <c r="F43" s="7"/>
      <c r="G43" s="7"/>
      <c r="H43" s="7"/>
    </row>
    <row r="44" spans="5:8" x14ac:dyDescent="0.25">
      <c r="E44" s="7"/>
      <c r="F44" s="7"/>
      <c r="G44" s="7"/>
      <c r="H44" s="7"/>
    </row>
    <row r="45" spans="5:8" x14ac:dyDescent="0.25">
      <c r="E45" s="7"/>
      <c r="F45" s="7"/>
      <c r="G45" s="7"/>
      <c r="H45" s="7"/>
    </row>
    <row r="46" spans="5:8" x14ac:dyDescent="0.25">
      <c r="E46" s="7"/>
      <c r="F46" s="7"/>
      <c r="G46" s="7"/>
      <c r="H46" s="7"/>
    </row>
    <row r="47" spans="5:8" x14ac:dyDescent="0.25">
      <c r="E47" s="7"/>
      <c r="F47" s="7"/>
      <c r="G47" s="7"/>
      <c r="H47" s="7"/>
    </row>
  </sheetData>
  <mergeCells count="2">
    <mergeCell ref="A1:H1"/>
    <mergeCell ref="E42:H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Original_V9</vt:lpstr>
      <vt:lpstr>Standardized_Model</vt:lpstr>
      <vt:lpstr>Category_Summary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Schecht</cp:lastModifiedBy>
  <dcterms:created xsi:type="dcterms:W3CDTF">2026-03-27T23:54:55Z</dcterms:created>
  <dcterms:modified xsi:type="dcterms:W3CDTF">2026-03-27T23:54:56Z</dcterms:modified>
</cp:coreProperties>
</file>